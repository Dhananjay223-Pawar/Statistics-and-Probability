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a33403e70c3ed1/Desktop/Data Analyst course/Statistic session/"/>
    </mc:Choice>
  </mc:AlternateContent>
  <xr:revisionPtr revIDLastSave="46" documentId="8_{CD11A1BA-A2B3-4D9A-BD08-2E582F544349}" xr6:coauthVersionLast="47" xr6:coauthVersionMax="47" xr10:uidLastSave="{D7457CA3-9FB2-48E9-9E15-CAF7F54CB5C2}"/>
  <bookViews>
    <workbookView xWindow="-114" yWindow="-114" windowWidth="27602" windowHeight="14927" activeTab="2" xr2:uid="{943F6AE7-2917-47B1-971C-B63FC8DD1C6E}"/>
  </bookViews>
  <sheets>
    <sheet name="Sheet1" sheetId="1" r:id="rId1"/>
    <sheet name="Tasks" sheetId="2" r:id="rId2"/>
    <sheet name="Insights" sheetId="3" r:id="rId3"/>
  </sheet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C5" i="2" a="1"/>
  <c r="C5" i="2" s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K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<sst xmlns="http://schemas.openxmlformats.org/spreadsheetml/2006/main" count="152" uniqueCount="119">
  <si>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</si>
  <si>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</si>
  <si>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</si>
  <si>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</si>
  <si>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</si>
  <si>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</si>
  <si>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</si>
  <si>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</si>
  <si>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Total Sales</t>
  </si>
  <si>
    <t>Order Value</t>
  </si>
  <si>
    <t>WHITE HANGING HEART T-LIGHT HOLDER</t>
  </si>
  <si>
    <t>01-12-2010 08:26</t>
  </si>
  <si>
    <t>17850</t>
  </si>
  <si>
    <t>United Kingdom</t>
  </si>
  <si>
    <t>22633</t>
  </si>
  <si>
    <t>HAND WARMER UNION JACK</t>
  </si>
  <si>
    <t>01-12-2010 08:28</t>
  </si>
  <si>
    <t>ASSORTED COLOUR BIRD ORNAMENT</t>
  </si>
  <si>
    <t>01-12-2010 08:34</t>
  </si>
  <si>
    <t>13047</t>
  </si>
  <si>
    <t>JAM MAKING SET WITH JARS</t>
  </si>
  <si>
    <t>HOME BUILDING BLOCK WORD</t>
  </si>
  <si>
    <t>01-12-2010 08:35</t>
  </si>
  <si>
    <t>France</t>
  </si>
  <si>
    <t>ALARM CLOCK BAKELIKE PINK</t>
  </si>
  <si>
    <t>01-12-2010 08:45</t>
  </si>
  <si>
    <t>12583</t>
  </si>
  <si>
    <t>ALARM CLOCK BAKELIKE RED</t>
  </si>
  <si>
    <t>01-12-2010 08:50</t>
  </si>
  <si>
    <t>Germany</t>
  </si>
  <si>
    <t>PAPER CHAIN KIT 50'S CHRISTMAS</t>
  </si>
  <si>
    <t>01-12-2010 09:01</t>
  </si>
  <si>
    <t>01-12-2010 09:02</t>
  </si>
  <si>
    <t>85099B</t>
  </si>
  <si>
    <t>JUMBO BAG RED RETROSPOT</t>
  </si>
  <si>
    <t>01-12-2010 09:09</t>
  </si>
  <si>
    <t>15100</t>
  </si>
  <si>
    <t>79321</t>
  </si>
  <si>
    <t>CHILLI LIGHTS</t>
  </si>
  <si>
    <t>01-12-2010 09:32</t>
  </si>
  <si>
    <t>82494L</t>
  </si>
  <si>
    <t>WOODEN FRAME ANTIQUE WHITE</t>
  </si>
  <si>
    <t>01-12-2010 09:34</t>
  </si>
  <si>
    <t>15291</t>
  </si>
  <si>
    <t>82482</t>
  </si>
  <si>
    <t>WOODEN PICTURE FRAME WHITE FINISH</t>
  </si>
  <si>
    <t>01-12-2010 09:39</t>
  </si>
  <si>
    <t>82486</t>
  </si>
  <si>
    <t>WOOD S/3 CABINET ANT WHITE</t>
  </si>
  <si>
    <t>01-12-2010 09:37</t>
  </si>
  <si>
    <t>14688</t>
  </si>
  <si>
    <t>21731</t>
  </si>
  <si>
    <t>RED TOADSTOOL LED NIGHT LIGHT</t>
  </si>
  <si>
    <t>01-12-2010 09:41</t>
  </si>
  <si>
    <t>22961</t>
  </si>
  <si>
    <t>JAM MAKING SET PRINTED</t>
  </si>
  <si>
    <t>17809</t>
  </si>
  <si>
    <t>22139</t>
  </si>
  <si>
    <t>RETROSPOT TEA SET CERAMIC 11 PC</t>
  </si>
  <si>
    <t>01-12-2010 09:45</t>
  </si>
  <si>
    <t>15311</t>
  </si>
  <si>
    <t>84854</t>
  </si>
  <si>
    <t>CINNAMON SCENTED CANDLE</t>
  </si>
  <si>
    <t>01-12-2010 09:46</t>
  </si>
  <si>
    <t>16098</t>
  </si>
  <si>
    <t>22411</t>
  </si>
  <si>
    <t>JUMBO SHOPPER VINTAGE RED PAISLEY</t>
  </si>
  <si>
    <t>01-12-2010 09:49</t>
  </si>
  <si>
    <t>18074</t>
  </si>
  <si>
    <t>22457</t>
  </si>
  <si>
    <t>NATURAL SLATE HEART CHALKBOARD</t>
  </si>
  <si>
    <t>01-12-2010 09:52</t>
  </si>
  <si>
    <t>Task - 1</t>
  </si>
  <si>
    <t>Unique UK CustomerIDs</t>
  </si>
  <si>
    <t>Task - 2</t>
  </si>
  <si>
    <t>Row Labels</t>
  </si>
  <si>
    <t>Grand Total</t>
  </si>
  <si>
    <t>Sum of Quantity</t>
  </si>
  <si>
    <t>Sum of UnitPrice</t>
  </si>
  <si>
    <t>Sum of Total Sales</t>
  </si>
  <si>
    <t>Task - 3</t>
  </si>
  <si>
    <t>Average</t>
  </si>
  <si>
    <t>IV536365</t>
  </si>
  <si>
    <t>IV536366</t>
  </si>
  <si>
    <t>IV536367</t>
  </si>
  <si>
    <t>IV536368</t>
  </si>
  <si>
    <t>IV536369</t>
  </si>
  <si>
    <t>IV536370</t>
  </si>
  <si>
    <t>IV536371</t>
  </si>
  <si>
    <t>IV536372</t>
  </si>
  <si>
    <t>IV536373</t>
  </si>
  <si>
    <t>IV536374</t>
  </si>
  <si>
    <t>IV536375</t>
  </si>
  <si>
    <t>IV536376</t>
  </si>
  <si>
    <t>IV536377</t>
  </si>
  <si>
    <t>IV536378</t>
  </si>
  <si>
    <t>IV536379</t>
  </si>
  <si>
    <t>IV536380</t>
  </si>
  <si>
    <t>IV536381</t>
  </si>
  <si>
    <t>IV536382</t>
  </si>
  <si>
    <t>IV536383</t>
  </si>
  <si>
    <t>IV536384</t>
  </si>
  <si>
    <t>SC85123A</t>
  </si>
  <si>
    <t>SC22633</t>
  </si>
  <si>
    <t>SC84879</t>
  </si>
  <si>
    <t>SC22960</t>
  </si>
  <si>
    <t>SC21754</t>
  </si>
  <si>
    <t>SC22728</t>
  </si>
  <si>
    <t>SC22727</t>
  </si>
  <si>
    <t>SC22086</t>
  </si>
  <si>
    <t>Key Customer Purchasing Insights</t>
  </si>
  <si>
    <t>1. The workbook contains 20 hypothetical Online Retail transactions for demonstrating the required Excel analysis.</t>
  </si>
  <si>
    <t>2. United Kingdom, France, and Germany are included so the country-level and France-vs-Germany analysis can be performed.</t>
  </si>
  <si>
    <t>3. Total Sales is calculated as Quantity × UnitPrice.</t>
  </si>
  <si>
    <t>4. Order Value is calculated as the total sales for each InvoiceNo.</t>
  </si>
  <si>
    <t>5. Orders above ₹10,000 are automatically highlighted in the data sheet.</t>
  </si>
  <si>
    <t>6. The Analysis sheet provides formulas for UK customer count and average order value.</t>
  </si>
  <si>
    <t>7. For Task 4, use Excel Data Analysis ToolPak → t-Test: Two-Sample Assuming Unequal Variances with the France and Germany order-value observations.</t>
  </si>
  <si>
    <t>8. The data is hypothetical and is not actual company transaction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</si>
</sst>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#,##0.0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8"/>
      <name val="Calibri"/>
      <family val="2"/>
      <scheme val="minor"/>
    </font>
    <font>
      <b/>
      <sz val="1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NumberFormat="1" applyFont="1" applyFill="1" applyBorder="1" applyAlignment="1" applyProtection="1"/>
    <xf numFmtId="0" fontId="3" fillId="2" borderId="0" xfId="0" applyNumberFormat="1" applyFont="1" applyFill="1" applyBorder="1" applyAlignment="1" applyProtection="1">
      <alignment horizontal="center"/>
    </xf>
    <xf numFmtId="168" fontId="2" fillId="0" borderId="0" xfId="0" applyNumberFormat="1" applyFont="1" applyFill="1" applyBorder="1" applyAlignment="1" applyProtection="1"/>
    <xf numFmtId="2" fontId="2" fillId="0" borderId="0" xfId="0" applyNumberFormat="1" applyFont="1" applyFill="1" applyBorder="1" applyAlignment="1" applyProtection="1"/>
    <xf numFmtId="0" fontId="1" fillId="3" borderId="0" xfId="0" applyFont="1" applyFill="1"/>
    <xf numFmtId="0" fontId="0" fillId="0" borderId="0" xfId="0" applyAlignment="1">
      <alignment horizontal="center" vertical="center"/>
    </xf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applyNumberFormat="1"/>
    <xf numFmtId="0" fontId="4" fillId="5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301.962384606479" createdVersion="8" refreshedVersion="8" minRefreshableVersion="3" recordCount="20" xr:uid="{92D2D7CB-DBFF-4600-B24C-4F86B68B9DE3}">
  <cacheSource type="worksheet">
    <worksheetSource ref="A1:J21" sheet="Sheet1"/>
  </cacheSource>
  <cacheFields count="10">
    <cacheField name="InvoiceNo" numFmtId="0">
      <sharedItems/>
    </cacheField>
    <cacheField name="StockCode" numFmtId="2">
      <sharedItems/>
    </cacheField>
    <cacheField name="Description" numFmtId="0">
      <sharedItems/>
    </cacheField>
    <cacheField name="Quantity" numFmtId="0">
      <sharedItems containsSemiMixedTypes="0" containsString="0" containsNumber="1" containsInteger="1" minValue="3" maxValue="100"/>
    </cacheField>
    <cacheField name="InvoiceDate" numFmtId="0">
      <sharedItems/>
    </cacheField>
    <cacheField name="UnitPrice" numFmtId="0">
      <sharedItems containsSemiMixedTypes="0" containsString="0" containsNumber="1" minValue="1.25" maxValue="6.95"/>
    </cacheField>
    <cacheField name="CustomerID" numFmtId="0">
      <sharedItems/>
    </cacheField>
    <cacheField name="Country" numFmtId="0">
      <sharedItems count="3">
        <s v="United Kingdom"/>
        <s v="France"/>
        <s v="Germany"/>
      </sharedItems>
    </cacheField>
    <cacheField name="Total Sales" numFmtId="168">
      <sharedItems containsSemiMixedTypes="0" containsString="0" containsNumber="1" minValue="11.100000000000001" maxValue="204"/>
    </cacheField>
    <cacheField name="Order Value" numFmtId="168">
      <sharedItems containsSemiMixedTypes="0" containsString="0" containsNumber="1" minValue="11.100000000000001" maxValue="2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536365"/>
    <s v="85123A"/>
    <s v="WHITE HANGING HEART T-LIGHT HOLDER"/>
    <n v="6"/>
    <s v="01-12-2010 08:26"/>
    <n v="2.5499999999999998"/>
    <s v="17850"/>
    <x v="0"/>
    <n v="15.299999999999999"/>
    <n v="15.299999999999999"/>
  </r>
  <r>
    <s v="536366"/>
    <s v="22633"/>
    <s v="HAND WARMER UNION JACK"/>
    <n v="6"/>
    <s v="01-12-2010 08:28"/>
    <n v="1.85"/>
    <s v="17850"/>
    <x v="0"/>
    <n v="11.100000000000001"/>
    <n v="11.100000000000001"/>
  </r>
  <r>
    <s v="536367"/>
    <s v="84879"/>
    <s v="ASSORTED COLOUR BIRD ORNAMENT"/>
    <n v="32"/>
    <s v="01-12-2010 08:34"/>
    <n v="1.69"/>
    <s v="13047"/>
    <x v="0"/>
    <n v="54.08"/>
    <n v="54.08"/>
  </r>
  <r>
    <s v="536368"/>
    <s v="22960"/>
    <s v="JAM MAKING SET WITH JARS"/>
    <n v="6"/>
    <s v="01-12-2010 08:34"/>
    <n v="4.25"/>
    <s v="13047"/>
    <x v="0"/>
    <n v="25.5"/>
    <n v="25.5"/>
  </r>
  <r>
    <s v="536369"/>
    <s v="21754"/>
    <s v="HOME BUILDING BLOCK WORD"/>
    <n v="3"/>
    <s v="01-12-2010 08:35"/>
    <n v="5.95"/>
    <s v="13047"/>
    <x v="1"/>
    <n v="17.850000000000001"/>
    <n v="17.850000000000001"/>
  </r>
  <r>
    <s v="536370"/>
    <s v="22728"/>
    <s v="ALARM CLOCK BAKELIKE PINK"/>
    <n v="24"/>
    <s v="01-12-2010 08:45"/>
    <n v="3.75"/>
    <s v="12583"/>
    <x v="1"/>
    <n v="90"/>
    <n v="90"/>
  </r>
  <r>
    <s v="536371"/>
    <s v="22727"/>
    <s v="ALARM CLOCK BAKELIKE RED"/>
    <n v="24"/>
    <s v="01-12-2010 08:50"/>
    <n v="3.75"/>
    <s v="12583"/>
    <x v="2"/>
    <n v="90"/>
    <n v="90"/>
  </r>
  <r>
    <s v="536372"/>
    <s v="22086"/>
    <s v="PAPER CHAIN KIT 50'S CHRISTMAS"/>
    <n v="80"/>
    <s v="01-12-2010 09:01"/>
    <n v="2.5499999999999998"/>
    <s v="12583"/>
    <x v="2"/>
    <n v="204"/>
    <n v="204"/>
  </r>
  <r>
    <s v="536373"/>
    <s v="22633"/>
    <s v="HAND WARMER UNION JACK"/>
    <n v="6"/>
    <s v="01-12-2010 09:02"/>
    <n v="1.85"/>
    <s v="17850"/>
    <x v="0"/>
    <n v="11.100000000000001"/>
    <n v="11.100000000000001"/>
  </r>
  <r>
    <s v="536374"/>
    <s v="85099B"/>
    <s v="JUMBO BAG RED RETROSPOT"/>
    <n v="100"/>
    <s v="01-12-2010 09:09"/>
    <n v="1.65"/>
    <s v="15100"/>
    <x v="0"/>
    <n v="165"/>
    <n v="165"/>
  </r>
  <r>
    <s v="536375"/>
    <s v="79321"/>
    <s v="CHILLI LIGHTS"/>
    <n v="12"/>
    <s v="01-12-2010 09:32"/>
    <n v="4.95"/>
    <s v="17850"/>
    <x v="0"/>
    <n v="59.400000000000006"/>
    <n v="59.400000000000006"/>
  </r>
  <r>
    <s v="536376"/>
    <s v="82494L"/>
    <s v="WOODEN FRAME ANTIQUE WHITE"/>
    <n v="6"/>
    <s v="01-12-2010 09:34"/>
    <n v="2.95"/>
    <s v="15291"/>
    <x v="0"/>
    <n v="17.700000000000003"/>
    <n v="17.700000000000003"/>
  </r>
  <r>
    <s v="536377"/>
    <s v="82482"/>
    <s v="WOODEN PICTURE FRAME WHITE FINISH"/>
    <n v="6"/>
    <s v="01-12-2010 09:39"/>
    <n v="2.95"/>
    <s v="15291"/>
    <x v="1"/>
    <n v="17.700000000000003"/>
    <n v="17.700000000000003"/>
  </r>
  <r>
    <s v="536378"/>
    <s v="82486"/>
    <s v="WOOD S/3 CABINET ANT WHITE"/>
    <n v="4"/>
    <s v="01-12-2010 09:37"/>
    <n v="6.95"/>
    <s v="14688"/>
    <x v="2"/>
    <n v="27.8"/>
    <n v="27.8"/>
  </r>
  <r>
    <s v="536379"/>
    <s v="21731"/>
    <s v="RED TOADSTOOL LED NIGHT LIGHT"/>
    <n v="12"/>
    <s v="01-12-2010 09:41"/>
    <n v="3.39"/>
    <s v="14688"/>
    <x v="2"/>
    <n v="40.68"/>
    <n v="40.68"/>
  </r>
  <r>
    <s v="536380"/>
    <s v="22961"/>
    <s v="JAM MAKING SET PRINTED"/>
    <n v="24"/>
    <s v="01-12-2010 09:41"/>
    <n v="1.45"/>
    <s v="17809"/>
    <x v="0"/>
    <n v="34.799999999999997"/>
    <n v="34.799999999999997"/>
  </r>
  <r>
    <s v="536381"/>
    <s v="22139"/>
    <s v="RETROSPOT TEA SET CERAMIC 11 PC"/>
    <n v="12"/>
    <s v="01-12-2010 09:45"/>
    <n v="4.25"/>
    <s v="15311"/>
    <x v="0"/>
    <n v="51"/>
    <n v="51"/>
  </r>
  <r>
    <s v="536382"/>
    <s v="84854"/>
    <s v="CINNAMON SCENTED CANDLE"/>
    <n v="24"/>
    <s v="01-12-2010 09:46"/>
    <n v="1.25"/>
    <s v="16098"/>
    <x v="1"/>
    <n v="30"/>
    <n v="30"/>
  </r>
  <r>
    <s v="536383"/>
    <s v="22411"/>
    <s v="JUMBO SHOPPER VINTAGE RED PAISLEY"/>
    <n v="10"/>
    <s v="01-12-2010 09:49"/>
    <n v="1.95"/>
    <s v="18074"/>
    <x v="2"/>
    <n v="19.5"/>
    <n v="19.5"/>
  </r>
  <r>
    <s v="536384"/>
    <s v="22457"/>
    <s v="NATURAL SLATE HEART CHALKBOARD"/>
    <n v="36"/>
    <s v="01-12-2010 09:52"/>
    <n v="2.95"/>
    <s v="18074"/>
    <x v="0"/>
    <n v="106.2"/>
    <n v="106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1FBC9E-2327-4523-BC9F-55F5D6E61FA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1:E15" firstHeaderRow="0" firstDataRow="1" firstDataCol="1"/>
  <pivotFields count="10">
    <pivotField showAll="0"/>
    <pivotField showAll="0"/>
    <pivotField showAll="0"/>
    <pivotField dataField="1" showAll="0"/>
    <pivotField showAll="0"/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dataField="1" numFmtId="168" showAll="0"/>
    <pivotField numFmtId="168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3" baseField="0" baseItem="0"/>
    <dataField name="Sum of UnitPrice" fld="5" baseField="0" baseItem="0"/>
    <dataField name="Sum of Total Sales" fld="8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DF20B-F681-478A-9A58-8EDCD1E71F0B}">
  <dimension ref="A1:K21"/>
  <sheetViews>
    <sheetView workbookViewId="0">
      <selection activeCell="C6" sqref="C6"/>
    </sheetView>
  </sheetViews>
  <sheetFormatPr defaultRowHeight="14.3" x14ac:dyDescent="0.25"/>
  <cols>
    <col min="1" max="1" width="12.5703125" customWidth="1"/>
    <col min="2" max="2" width="13.28515625" customWidth="1"/>
    <col min="3" max="3" width="37.28515625" bestFit="1" customWidth="1"/>
    <col min="4" max="4" width="8.7109375" bestFit="1" customWidth="1"/>
    <col min="5" max="5" width="15.5703125" bestFit="1" customWidth="1"/>
    <col min="6" max="6" width="9.28515625" bestFit="1" customWidth="1"/>
    <col min="7" max="7" width="11.42578125" bestFit="1" customWidth="1"/>
    <col min="8" max="8" width="15.42578125" bestFit="1" customWidth="1"/>
    <col min="9" max="9" width="10.42578125" bestFit="1" customWidth="1"/>
    <col min="10" max="10" width="11.710937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2" t="s">
        <v>81</v>
      </c>
    </row>
    <row r="2" spans="1:11" x14ac:dyDescent="0.25">
      <c r="A2" s="1" t="s">
        <v>82</v>
      </c>
      <c r="B2" s="4" t="s">
        <v>102</v>
      </c>
      <c r="C2" s="1" t="s">
        <v>10</v>
      </c>
      <c r="D2" s="1">
        <v>6</v>
      </c>
      <c r="E2" s="1" t="s">
        <v>11</v>
      </c>
      <c r="F2" s="1">
        <v>2.5499999999999998</v>
      </c>
      <c r="G2" s="1" t="s">
        <v>12</v>
      </c>
      <c r="H2" s="1" t="s">
        <v>13</v>
      </c>
      <c r="I2" s="3">
        <f>D2*F2</f>
        <v>15.299999999999999</v>
      </c>
      <c r="J2" s="3">
        <f>SUMIF($A$2:$A$21,A2,$I$2:$I$21)*100</f>
        <v>1530</v>
      </c>
      <c r="K2" s="11">
        <f>AVERAGE(J2:J21)</f>
        <v>5443.55</v>
      </c>
    </row>
    <row r="3" spans="1:11" x14ac:dyDescent="0.25">
      <c r="A3" s="1" t="s">
        <v>83</v>
      </c>
      <c r="B3" s="4" t="s">
        <v>103</v>
      </c>
      <c r="C3" s="1" t="s">
        <v>15</v>
      </c>
      <c r="D3" s="1">
        <v>6</v>
      </c>
      <c r="E3" s="1" t="s">
        <v>16</v>
      </c>
      <c r="F3" s="1">
        <v>1.85</v>
      </c>
      <c r="G3" s="1" t="s">
        <v>12</v>
      </c>
      <c r="H3" s="1" t="s">
        <v>13</v>
      </c>
      <c r="I3" s="3">
        <f>D3*F3</f>
        <v>11.100000000000001</v>
      </c>
      <c r="J3" s="3">
        <f t="shared" ref="J3:J21" si="0">SUMIF($A$2:$A$21,A3,$I$2:$I$21)*100</f>
        <v>1110.0000000000002</v>
      </c>
    </row>
    <row r="4" spans="1:11" x14ac:dyDescent="0.25">
      <c r="A4" s="1" t="s">
        <v>84</v>
      </c>
      <c r="B4" s="4" t="s">
        <v>104</v>
      </c>
      <c r="C4" s="1" t="s">
        <v>17</v>
      </c>
      <c r="D4" s="1">
        <v>32</v>
      </c>
      <c r="E4" s="1" t="s">
        <v>18</v>
      </c>
      <c r="F4" s="1">
        <v>1.69</v>
      </c>
      <c r="G4" s="1" t="s">
        <v>19</v>
      </c>
      <c r="H4" s="1" t="s">
        <v>13</v>
      </c>
      <c r="I4" s="3">
        <f>D4*F4</f>
        <v>54.08</v>
      </c>
      <c r="J4" s="3">
        <f t="shared" si="0"/>
        <v>5408</v>
      </c>
    </row>
    <row r="5" spans="1:11" x14ac:dyDescent="0.25">
      <c r="A5" s="1" t="s">
        <v>85</v>
      </c>
      <c r="B5" s="4" t="s">
        <v>105</v>
      </c>
      <c r="C5" s="1" t="s">
        <v>20</v>
      </c>
      <c r="D5" s="1">
        <v>6</v>
      </c>
      <c r="E5" s="1" t="s">
        <v>18</v>
      </c>
      <c r="F5" s="1">
        <v>4.25</v>
      </c>
      <c r="G5" s="1" t="s">
        <v>19</v>
      </c>
      <c r="H5" s="1" t="s">
        <v>13</v>
      </c>
      <c r="I5" s="3">
        <f>D5*F5</f>
        <v>25.5</v>
      </c>
      <c r="J5" s="3">
        <f t="shared" si="0"/>
        <v>2550</v>
      </c>
    </row>
    <row r="6" spans="1:11" x14ac:dyDescent="0.25">
      <c r="A6" s="1" t="s">
        <v>86</v>
      </c>
      <c r="B6" s="4" t="s">
        <v>106</v>
      </c>
      <c r="C6" s="1" t="s">
        <v>21</v>
      </c>
      <c r="D6" s="1">
        <v>3</v>
      </c>
      <c r="E6" s="1" t="s">
        <v>22</v>
      </c>
      <c r="F6" s="1">
        <v>5.95</v>
      </c>
      <c r="G6" s="1" t="s">
        <v>19</v>
      </c>
      <c r="H6" s="1" t="s">
        <v>23</v>
      </c>
      <c r="I6" s="3">
        <f>D6*F6</f>
        <v>17.850000000000001</v>
      </c>
      <c r="J6" s="3">
        <f t="shared" si="0"/>
        <v>1785.0000000000002</v>
      </c>
    </row>
    <row r="7" spans="1:11" x14ac:dyDescent="0.25">
      <c r="A7" s="1" t="s">
        <v>87</v>
      </c>
      <c r="B7" s="4" t="s">
        <v>107</v>
      </c>
      <c r="C7" s="1" t="s">
        <v>24</v>
      </c>
      <c r="D7" s="1">
        <v>24</v>
      </c>
      <c r="E7" s="1" t="s">
        <v>25</v>
      </c>
      <c r="F7" s="1">
        <v>3.75</v>
      </c>
      <c r="G7" s="1" t="s">
        <v>26</v>
      </c>
      <c r="H7" s="1" t="s">
        <v>23</v>
      </c>
      <c r="I7" s="3">
        <f>D7*F7</f>
        <v>90</v>
      </c>
      <c r="J7" s="3">
        <f t="shared" si="0"/>
        <v>9000</v>
      </c>
    </row>
    <row r="8" spans="1:11" x14ac:dyDescent="0.25">
      <c r="A8" s="1" t="s">
        <v>88</v>
      </c>
      <c r="B8" s="4" t="s">
        <v>108</v>
      </c>
      <c r="C8" s="1" t="s">
        <v>27</v>
      </c>
      <c r="D8" s="1">
        <v>24</v>
      </c>
      <c r="E8" s="1" t="s">
        <v>28</v>
      </c>
      <c r="F8" s="1">
        <v>3.75</v>
      </c>
      <c r="G8" s="1" t="s">
        <v>26</v>
      </c>
      <c r="H8" s="1" t="s">
        <v>29</v>
      </c>
      <c r="I8" s="3">
        <f>D8*F8</f>
        <v>90</v>
      </c>
      <c r="J8" s="3">
        <f t="shared" si="0"/>
        <v>9000</v>
      </c>
    </row>
    <row r="9" spans="1:11" x14ac:dyDescent="0.25">
      <c r="A9" s="1" t="s">
        <v>89</v>
      </c>
      <c r="B9" s="4" t="s">
        <v>109</v>
      </c>
      <c r="C9" s="1" t="s">
        <v>30</v>
      </c>
      <c r="D9" s="1">
        <v>80</v>
      </c>
      <c r="E9" s="1" t="s">
        <v>31</v>
      </c>
      <c r="F9" s="1">
        <v>2.5499999999999998</v>
      </c>
      <c r="G9" s="1" t="s">
        <v>26</v>
      </c>
      <c r="H9" s="1" t="s">
        <v>29</v>
      </c>
      <c r="I9" s="3">
        <f>D9*F9</f>
        <v>204</v>
      </c>
      <c r="J9" s="3">
        <f t="shared" si="0"/>
        <v>20400</v>
      </c>
    </row>
    <row r="10" spans="1:11" x14ac:dyDescent="0.25">
      <c r="A10" s="1" t="s">
        <v>90</v>
      </c>
      <c r="B10" s="4" t="s">
        <v>14</v>
      </c>
      <c r="C10" s="1" t="s">
        <v>15</v>
      </c>
      <c r="D10" s="1">
        <v>6</v>
      </c>
      <c r="E10" s="1" t="s">
        <v>32</v>
      </c>
      <c r="F10" s="1">
        <v>1.85</v>
      </c>
      <c r="G10" s="1" t="s">
        <v>12</v>
      </c>
      <c r="H10" s="1" t="s">
        <v>13</v>
      </c>
      <c r="I10" s="3">
        <f>D10*F10</f>
        <v>11.100000000000001</v>
      </c>
      <c r="J10" s="3">
        <f t="shared" si="0"/>
        <v>1110.0000000000002</v>
      </c>
    </row>
    <row r="11" spans="1:11" x14ac:dyDescent="0.25">
      <c r="A11" s="1" t="s">
        <v>91</v>
      </c>
      <c r="B11" s="4" t="s">
        <v>33</v>
      </c>
      <c r="C11" s="1" t="s">
        <v>34</v>
      </c>
      <c r="D11" s="1">
        <v>100</v>
      </c>
      <c r="E11" s="1" t="s">
        <v>35</v>
      </c>
      <c r="F11" s="1">
        <v>1.65</v>
      </c>
      <c r="G11" s="1" t="s">
        <v>36</v>
      </c>
      <c r="H11" s="1" t="s">
        <v>13</v>
      </c>
      <c r="I11" s="3">
        <f>D11*F11</f>
        <v>165</v>
      </c>
      <c r="J11" s="3">
        <f t="shared" si="0"/>
        <v>16500</v>
      </c>
    </row>
    <row r="12" spans="1:11" x14ac:dyDescent="0.25">
      <c r="A12" s="1" t="s">
        <v>92</v>
      </c>
      <c r="B12" s="4" t="s">
        <v>37</v>
      </c>
      <c r="C12" s="1" t="s">
        <v>38</v>
      </c>
      <c r="D12" s="1">
        <v>12</v>
      </c>
      <c r="E12" s="1" t="s">
        <v>39</v>
      </c>
      <c r="F12" s="1">
        <v>4.95</v>
      </c>
      <c r="G12" s="1" t="s">
        <v>12</v>
      </c>
      <c r="H12" s="1" t="s">
        <v>13</v>
      </c>
      <c r="I12" s="3">
        <f>D12*F12</f>
        <v>59.400000000000006</v>
      </c>
      <c r="J12" s="3">
        <f t="shared" si="0"/>
        <v>5940.0000000000009</v>
      </c>
    </row>
    <row r="13" spans="1:11" x14ac:dyDescent="0.25">
      <c r="A13" s="1" t="s">
        <v>93</v>
      </c>
      <c r="B13" s="4" t="s">
        <v>40</v>
      </c>
      <c r="C13" s="1" t="s">
        <v>41</v>
      </c>
      <c r="D13" s="1">
        <v>6</v>
      </c>
      <c r="E13" s="1" t="s">
        <v>42</v>
      </c>
      <c r="F13" s="1">
        <v>2.95</v>
      </c>
      <c r="G13" s="1" t="s">
        <v>43</v>
      </c>
      <c r="H13" s="1" t="s">
        <v>13</v>
      </c>
      <c r="I13" s="3">
        <f>D13*F13</f>
        <v>17.700000000000003</v>
      </c>
      <c r="J13" s="3">
        <f t="shared" si="0"/>
        <v>1770.0000000000002</v>
      </c>
    </row>
    <row r="14" spans="1:11" x14ac:dyDescent="0.25">
      <c r="A14" s="1" t="s">
        <v>94</v>
      </c>
      <c r="B14" s="4" t="s">
        <v>44</v>
      </c>
      <c r="C14" s="1" t="s">
        <v>45</v>
      </c>
      <c r="D14" s="1">
        <v>6</v>
      </c>
      <c r="E14" s="1" t="s">
        <v>46</v>
      </c>
      <c r="F14" s="1">
        <v>2.95</v>
      </c>
      <c r="G14" s="1" t="s">
        <v>43</v>
      </c>
      <c r="H14" s="1" t="s">
        <v>23</v>
      </c>
      <c r="I14" s="3">
        <f>D14*F14</f>
        <v>17.700000000000003</v>
      </c>
      <c r="J14" s="3">
        <f t="shared" si="0"/>
        <v>1770.0000000000002</v>
      </c>
    </row>
    <row r="15" spans="1:11" x14ac:dyDescent="0.25">
      <c r="A15" s="1" t="s">
        <v>95</v>
      </c>
      <c r="B15" s="4" t="s">
        <v>47</v>
      </c>
      <c r="C15" s="1" t="s">
        <v>48</v>
      </c>
      <c r="D15" s="1">
        <v>4</v>
      </c>
      <c r="E15" s="1" t="s">
        <v>49</v>
      </c>
      <c r="F15" s="1">
        <v>6.95</v>
      </c>
      <c r="G15" s="1" t="s">
        <v>50</v>
      </c>
      <c r="H15" s="1" t="s">
        <v>29</v>
      </c>
      <c r="I15" s="3">
        <f>D15*F15</f>
        <v>27.8</v>
      </c>
      <c r="J15" s="3">
        <f t="shared" si="0"/>
        <v>2780</v>
      </c>
    </row>
    <row r="16" spans="1:11" x14ac:dyDescent="0.25">
      <c r="A16" s="1" t="s">
        <v>96</v>
      </c>
      <c r="B16" s="4" t="s">
        <v>51</v>
      </c>
      <c r="C16" s="1" t="s">
        <v>52</v>
      </c>
      <c r="D16" s="1">
        <v>12</v>
      </c>
      <c r="E16" s="1" t="s">
        <v>53</v>
      </c>
      <c r="F16" s="1">
        <v>3.39</v>
      </c>
      <c r="G16" s="1" t="s">
        <v>50</v>
      </c>
      <c r="H16" s="1" t="s">
        <v>29</v>
      </c>
      <c r="I16" s="3">
        <f>D16*F16</f>
        <v>40.68</v>
      </c>
      <c r="J16" s="3">
        <f t="shared" si="0"/>
        <v>4068</v>
      </c>
    </row>
    <row r="17" spans="1:10" x14ac:dyDescent="0.25">
      <c r="A17" s="1" t="s">
        <v>97</v>
      </c>
      <c r="B17" s="4" t="s">
        <v>54</v>
      </c>
      <c r="C17" s="1" t="s">
        <v>55</v>
      </c>
      <c r="D17" s="1">
        <v>24</v>
      </c>
      <c r="E17" s="1" t="s">
        <v>53</v>
      </c>
      <c r="F17" s="1">
        <v>1.45</v>
      </c>
      <c r="G17" s="1" t="s">
        <v>56</v>
      </c>
      <c r="H17" s="1" t="s">
        <v>13</v>
      </c>
      <c r="I17" s="3">
        <f>D17*F17</f>
        <v>34.799999999999997</v>
      </c>
      <c r="J17" s="3">
        <f t="shared" si="0"/>
        <v>3479.9999999999995</v>
      </c>
    </row>
    <row r="18" spans="1:10" x14ac:dyDescent="0.25">
      <c r="A18" s="1" t="s">
        <v>98</v>
      </c>
      <c r="B18" s="4" t="s">
        <v>57</v>
      </c>
      <c r="C18" s="1" t="s">
        <v>58</v>
      </c>
      <c r="D18" s="1">
        <v>12</v>
      </c>
      <c r="E18" s="1" t="s">
        <v>59</v>
      </c>
      <c r="F18" s="1">
        <v>4.25</v>
      </c>
      <c r="G18" s="1" t="s">
        <v>60</v>
      </c>
      <c r="H18" s="1" t="s">
        <v>13</v>
      </c>
      <c r="I18" s="3">
        <f>D18*F18</f>
        <v>51</v>
      </c>
      <c r="J18" s="3">
        <f t="shared" si="0"/>
        <v>5100</v>
      </c>
    </row>
    <row r="19" spans="1:10" x14ac:dyDescent="0.25">
      <c r="A19" s="1" t="s">
        <v>99</v>
      </c>
      <c r="B19" s="4" t="s">
        <v>61</v>
      </c>
      <c r="C19" s="1" t="s">
        <v>62</v>
      </c>
      <c r="D19" s="1">
        <v>24</v>
      </c>
      <c r="E19" s="1" t="s">
        <v>63</v>
      </c>
      <c r="F19" s="1">
        <v>1.25</v>
      </c>
      <c r="G19" s="1" t="s">
        <v>64</v>
      </c>
      <c r="H19" s="1" t="s">
        <v>23</v>
      </c>
      <c r="I19" s="3">
        <f>D19*F19</f>
        <v>30</v>
      </c>
      <c r="J19" s="3">
        <f t="shared" si="0"/>
        <v>3000</v>
      </c>
    </row>
    <row r="20" spans="1:10" x14ac:dyDescent="0.25">
      <c r="A20" s="1" t="s">
        <v>100</v>
      </c>
      <c r="B20" s="4" t="s">
        <v>65</v>
      </c>
      <c r="C20" s="1" t="s">
        <v>66</v>
      </c>
      <c r="D20" s="1">
        <v>10</v>
      </c>
      <c r="E20" s="1" t="s">
        <v>67</v>
      </c>
      <c r="F20" s="1">
        <v>1.95</v>
      </c>
      <c r="G20" s="1" t="s">
        <v>68</v>
      </c>
      <c r="H20" s="1" t="s">
        <v>29</v>
      </c>
      <c r="I20" s="3">
        <f>D20*F20</f>
        <v>19.5</v>
      </c>
      <c r="J20" s="3">
        <f t="shared" si="0"/>
        <v>1950</v>
      </c>
    </row>
    <row r="21" spans="1:10" x14ac:dyDescent="0.25">
      <c r="A21" s="1" t="s">
        <v>101</v>
      </c>
      <c r="B21" s="4" t="s">
        <v>69</v>
      </c>
      <c r="C21" s="1" t="s">
        <v>70</v>
      </c>
      <c r="D21" s="1">
        <v>36</v>
      </c>
      <c r="E21" s="1" t="s">
        <v>71</v>
      </c>
      <c r="F21" s="1">
        <v>2.95</v>
      </c>
      <c r="G21" s="1" t="s">
        <v>68</v>
      </c>
      <c r="H21" s="1" t="s">
        <v>13</v>
      </c>
      <c r="I21" s="3">
        <f>D21*F21</f>
        <v>106.2</v>
      </c>
      <c r="J21" s="3">
        <f t="shared" si="0"/>
        <v>10620</v>
      </c>
    </row>
  </sheetData>
  <phoneticPr fontId="5" type="noConversion"/>
  <conditionalFormatting sqref="J2:J21">
    <cfRule type="cellIs" dxfId="0" priority="1" operator="greaterThan">
      <formula>10000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0649-2EA9-449A-829B-83E8CB0D7514}">
  <dimension ref="A1:E20"/>
  <sheetViews>
    <sheetView workbookViewId="0">
      <selection activeCell="B22" sqref="B22"/>
    </sheetView>
  </sheetViews>
  <sheetFormatPr defaultRowHeight="14.3" x14ac:dyDescent="0.25"/>
  <cols>
    <col min="2" max="3" width="15.42578125" bestFit="1" customWidth="1"/>
    <col min="4" max="4" width="16" bestFit="1" customWidth="1"/>
    <col min="5" max="5" width="17.28515625" bestFit="1" customWidth="1"/>
  </cols>
  <sheetData>
    <row r="1" spans="1:5" x14ac:dyDescent="0.25">
      <c r="A1" s="5" t="s">
        <v>72</v>
      </c>
    </row>
    <row r="4" spans="1:5" x14ac:dyDescent="0.25">
      <c r="C4" s="7" t="s">
        <v>73</v>
      </c>
    </row>
    <row r="5" spans="1:5" x14ac:dyDescent="0.25">
      <c r="C5" s="6" cm="1">
        <f t="array" ref="C5">COUNTA(_xlfn.UNIQUE(_xlfn._xlws.FILTER(Sheet1!G2:G21,Sheet1!H2:H21="United Kingdom")))</f>
        <v>7</v>
      </c>
    </row>
    <row r="8" spans="1:5" x14ac:dyDescent="0.25">
      <c r="A8" s="5" t="s">
        <v>74</v>
      </c>
    </row>
    <row r="11" spans="1:5" x14ac:dyDescent="0.25">
      <c r="B11" s="8" t="s">
        <v>75</v>
      </c>
      <c r="C11" t="s">
        <v>77</v>
      </c>
      <c r="D11" t="s">
        <v>78</v>
      </c>
      <c r="E11" t="s">
        <v>79</v>
      </c>
    </row>
    <row r="12" spans="1:5" x14ac:dyDescent="0.25">
      <c r="B12" s="9" t="s">
        <v>23</v>
      </c>
      <c r="C12" s="10">
        <v>57</v>
      </c>
      <c r="D12" s="10">
        <v>13.899999999999999</v>
      </c>
      <c r="E12" s="11">
        <v>155.55000000000001</v>
      </c>
    </row>
    <row r="13" spans="1:5" x14ac:dyDescent="0.25">
      <c r="B13" s="9" t="s">
        <v>29</v>
      </c>
      <c r="C13" s="10">
        <v>130</v>
      </c>
      <c r="D13" s="10">
        <v>18.59</v>
      </c>
      <c r="E13" s="11">
        <v>381.98</v>
      </c>
    </row>
    <row r="14" spans="1:5" x14ac:dyDescent="0.25">
      <c r="B14" s="9" t="s">
        <v>13</v>
      </c>
      <c r="C14" s="10">
        <v>246</v>
      </c>
      <c r="D14" s="10">
        <v>30.389999999999997</v>
      </c>
      <c r="E14" s="11">
        <v>551.18000000000006</v>
      </c>
    </row>
    <row r="15" spans="1:5" x14ac:dyDescent="0.25">
      <c r="B15" s="9" t="s">
        <v>76</v>
      </c>
      <c r="C15" s="10">
        <v>433</v>
      </c>
      <c r="D15" s="10">
        <v>62.879999999999995</v>
      </c>
      <c r="E15" s="11">
        <v>1088.71</v>
      </c>
    </row>
    <row r="20" spans="1:1" x14ac:dyDescent="0.25">
      <c r="A20" s="5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7551D-92CD-4E78-B6F9-90D1DB558556}">
  <dimension ref="A1:A10"/>
  <sheetViews>
    <sheetView tabSelected="1" workbookViewId="0">
      <selection activeCell="F20" sqref="F20"/>
    </sheetView>
  </sheetViews>
  <sheetFormatPr defaultRowHeight="14.3" x14ac:dyDescent="0.25"/>
  <cols>
    <col min="1" max="1" width="69" bestFit="1" customWidth="1"/>
  </cols>
  <sheetData>
    <row r="1" spans="1:1" ht="20.7" x14ac:dyDescent="0.35">
      <c r="A1" s="13" t="s">
        <v>110</v>
      </c>
    </row>
    <row r="2" spans="1:1" x14ac:dyDescent="0.25">
      <c r="A2" s="1"/>
    </row>
    <row r="3" spans="1:1" ht="28.55" x14ac:dyDescent="0.25">
      <c r="A3" s="14" t="s">
        <v>111</v>
      </c>
    </row>
    <row r="4" spans="1:1" ht="28.55" x14ac:dyDescent="0.25">
      <c r="A4" s="14" t="s">
        <v>112</v>
      </c>
    </row>
    <row r="5" spans="1:1" x14ac:dyDescent="0.25">
      <c r="A5" s="14" t="s">
        <v>113</v>
      </c>
    </row>
    <row r="6" spans="1:1" x14ac:dyDescent="0.25">
      <c r="A6" s="14" t="s">
        <v>114</v>
      </c>
    </row>
    <row r="7" spans="1:1" x14ac:dyDescent="0.25">
      <c r="A7" s="14" t="s">
        <v>115</v>
      </c>
    </row>
    <row r="8" spans="1:1" ht="28.55" x14ac:dyDescent="0.25">
      <c r="A8" s="14" t="s">
        <v>116</v>
      </c>
    </row>
    <row r="9" spans="1:1" ht="42.8" x14ac:dyDescent="0.25">
      <c r="A9" s="14" t="s">
        <v>117</v>
      </c>
    </row>
    <row r="10" spans="1:1" x14ac:dyDescent="0.25">
      <c r="A10" s="1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Tasks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 pawar</dc:creator>
  <cp:lastModifiedBy>dilip pawar</cp:lastModifiedBy>
  <dcterms:created xsi:type="dcterms:W3CDTF">2026-10-06T17:28:54Z</dcterms:created>
  <dcterms:modified xsi:type="dcterms:W3CDTF">2026-10-06T17:52:07Z</dcterms:modified>
</cp:coreProperties>
</file>