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a33403e70c3ed1/Desktop/Data Analyst course/Statistic session/"/>
    </mc:Choice>
  </mc:AlternateContent>
  <xr:revisionPtr revIDLastSave="118" documentId="8_{15B70CED-6CCF-4314-9CFF-DC672EE101D4}" xr6:coauthVersionLast="47" xr6:coauthVersionMax="47" xr10:uidLastSave="{A85C9054-167D-42C2-B48B-CE021A92974E}"/>
  <bookViews>
    <workbookView xWindow="-114" yWindow="-114" windowWidth="27602" windowHeight="14927" xr2:uid="{400D1E67-6BF5-4D50-8295-5E9BB060B5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2" i="1" l="1"/>
  <c r="F62" i="1"/>
  <c r="G45" i="1"/>
  <c r="F45" i="1"/>
  <c r="G32" i="1"/>
  <c r="H32" i="1" s="1"/>
  <c r="F32" i="1"/>
  <c r="G20" i="1"/>
  <c r="F20" i="1"/>
  <c r="G5" i="1"/>
  <c r="F5" i="1"/>
  <c r="H5" i="1" l="1"/>
</calcChain>
</file>

<file path=xl/sharedStrings.xml><?xml version="1.0" encoding="utf-8"?>
<sst xmlns="http://schemas.openxmlformats.org/spreadsheetml/2006/main" count="35" uniqueCount="29">
  <si>
    <t>Task 1</t>
  </si>
  <si>
    <t>Given the daily step counts of a user for the last 7 days as [6500, 7200, 8000, 6000, 9000, 7500, 8200], calculate the range of steps and explain what this tells you about the user's activity pattern.</t>
  </si>
  <si>
    <t>Day</t>
  </si>
  <si>
    <t>Steps</t>
  </si>
  <si>
    <t>Range</t>
  </si>
  <si>
    <t>Max Val</t>
  </si>
  <si>
    <t>Min Val</t>
  </si>
  <si>
    <t>Task 2</t>
  </si>
  <si>
    <r>
      <t xml:space="preserve">The user's highest step count is </t>
    </r>
    <r>
      <rPr>
        <b/>
        <sz val="11"/>
        <color theme="1"/>
        <rFont val="Calibri"/>
        <family val="2"/>
        <scheme val="minor"/>
      </rPr>
      <t>9,000</t>
    </r>
    <r>
      <rPr>
        <sz val="11"/>
        <color theme="1"/>
        <rFont val="Calibri"/>
        <family val="2"/>
        <scheme val="minor"/>
      </rPr>
      <t xml:space="preserve"> and the lowest is </t>
    </r>
    <r>
      <rPr>
        <b/>
        <sz val="11"/>
        <color theme="1"/>
        <rFont val="Calibri"/>
        <family val="2"/>
        <scheme val="minor"/>
      </rPr>
      <t>6,000</t>
    </r>
    <r>
      <rPr>
        <sz val="11"/>
        <color theme="1"/>
        <rFont val="Calibri"/>
        <family val="2"/>
        <scheme val="minor"/>
      </rPr>
      <t xml:space="preserve">, giving a range of </t>
    </r>
    <r>
      <rPr>
        <b/>
        <sz val="11"/>
        <color theme="1"/>
        <rFont val="Calibri"/>
        <family val="2"/>
        <scheme val="minor"/>
      </rPr>
      <t>3,000 steps</t>
    </r>
    <r>
      <rPr>
        <sz val="11"/>
        <color theme="1"/>
        <rFont val="Calibri"/>
        <family val="2"/>
        <scheme val="minor"/>
      </rPr>
      <t>. This shows that daily activity varies moderately rather than remaining exactly the same every day.</t>
    </r>
  </si>
  <si>
    <t>For a list of 5 food delivery order amounts on Zomato: [250, 400, 350, 300, 500], write code to compute the variance and standard deviation of the order amounts.</t>
  </si>
  <si>
    <t>Order</t>
  </si>
  <si>
    <t>Amount (₹)</t>
  </si>
  <si>
    <t>Variance</t>
  </si>
  <si>
    <t>Standard Deviation</t>
  </si>
  <si>
    <t>You have the monthly mobile data usage (in GB) for a user over 6 months: [3.2, 2.8, 3.5, 3.0, 2.9, 3.1]. Calculate the coefficient of variation (CV) and interpret whether the user's data usage is consistent or highly variable. Hint: CV = (Standard Deviation / Mean) × 100%</t>
  </si>
  <si>
    <t>Task 3</t>
  </si>
  <si>
    <t>Month</t>
  </si>
  <si>
    <t>Data Usage (GB)</t>
  </si>
  <si>
    <t>Mean</t>
  </si>
  <si>
    <t>CV</t>
  </si>
  <si>
    <t>Suppose you are analyzing the number of likes on 10 recent Instagram posts: [120, 150, 130, 110, 170, 140, 135, 160, 125, 155]. Compute the standard deviation and compare it with the mean to comment on the consistency of engagement.</t>
  </si>
  <si>
    <t>Task 4</t>
  </si>
  <si>
    <t>Likes</t>
  </si>
  <si>
    <t>Insta Post</t>
  </si>
  <si>
    <r>
      <t xml:space="preserve">The standard deviation of about </t>
    </r>
    <r>
      <rPr>
        <b/>
        <sz val="11"/>
        <color theme="1"/>
        <rFont val="Calibri"/>
        <family val="2"/>
        <scheme val="minor"/>
      </rPr>
      <t>17.59 likes</t>
    </r>
    <r>
      <rPr>
        <sz val="11"/>
        <color theme="1"/>
        <rFont val="Calibri"/>
        <family val="2"/>
        <scheme val="minor"/>
      </rPr>
      <t xml:space="preserve"> is relatively small compared with the mean of </t>
    </r>
    <r>
      <rPr>
        <b/>
        <sz val="11"/>
        <color theme="1"/>
        <rFont val="Calibri"/>
        <family val="2"/>
        <scheme val="minor"/>
      </rPr>
      <t>139.5 likes</t>
    </r>
    <r>
      <rPr>
        <sz val="11"/>
        <color theme="1"/>
        <rFont val="Calibri"/>
        <family val="2"/>
        <scheme val="minor"/>
      </rPr>
      <t xml:space="preserve">. Therefore, the Instagram engagement is </t>
    </r>
    <r>
      <rPr>
        <b/>
        <sz val="11"/>
        <color theme="1"/>
        <rFont val="Calibri"/>
        <family val="2"/>
        <scheme val="minor"/>
      </rPr>
      <t>fairly consistent</t>
    </r>
    <r>
      <rPr>
        <sz val="11"/>
        <color theme="1"/>
        <rFont val="Calibri"/>
        <family val="2"/>
        <scheme val="minor"/>
      </rPr>
      <t>, although there is some variation between posts.</t>
    </r>
  </si>
  <si>
    <t>Use ChatGPT or any AI tool to generate a small dataset (at least 8 values) representing daily UPI transaction amounts for a week. Then, calculate the variance and standard deviation of the generated data, and briefly interpret what the results mean for spending stability.</t>
  </si>
  <si>
    <t>Task 5</t>
  </si>
  <si>
    <t>UPI Amount (₹)</t>
  </si>
  <si>
    <r>
      <t xml:space="preserve">The standard deviation of approximately Rs. </t>
    </r>
    <r>
      <rPr>
        <b/>
        <sz val="11"/>
        <color theme="1"/>
        <rFont val="Calibri"/>
        <family val="2"/>
        <scheme val="minor"/>
      </rPr>
      <t>127.47</t>
    </r>
    <r>
      <rPr>
        <sz val="11"/>
        <color theme="1"/>
        <rFont val="Calibri"/>
        <family val="2"/>
        <scheme val="minor"/>
      </rPr>
      <t xml:space="preserve"> shows that daily UPI spending varies noticeably around the average transaction amount. Therefore, spending is </t>
    </r>
    <r>
      <rPr>
        <b/>
        <sz val="11"/>
        <color theme="1"/>
        <rFont val="Calibri"/>
        <family val="2"/>
        <scheme val="minor"/>
      </rPr>
      <t>moderately variable rather than completely stable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</si>
</sst>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0" fillId="6" borderId="0" xfId="0" applyFill="1" applyAlignment="1">
      <alignment horizontal="left" vertical="center" wrapText="1"/>
    </xf>
    <xf numFmtId="2" fontId="0" fillId="0" borderId="0" xfId="0" applyNumberFormat="1"/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A382D-7621-4F66-9CD0-7193A092520A}">
  <dimension ref="A1:S69"/>
  <sheetViews>
    <sheetView tabSelected="1" workbookViewId="0">
      <selection activeCell="F68" sqref="F68"/>
    </sheetView>
  </sheetViews>
  <sheetFormatPr defaultRowHeight="14.3" x14ac:dyDescent="0.25"/>
  <cols>
    <col min="1" max="1" width="9.140625" style="1"/>
    <col min="3" max="3" width="12.42578125" customWidth="1"/>
    <col min="4" max="4" width="15.42578125" customWidth="1"/>
    <col min="6" max="6" width="13.140625" customWidth="1"/>
    <col min="7" max="7" width="18.140625" bestFit="1" customWidth="1"/>
  </cols>
  <sheetData>
    <row r="1" spans="1:19" x14ac:dyDescent="0.25">
      <c r="A1" s="11" t="s">
        <v>0</v>
      </c>
      <c r="B1" s="2" t="s">
        <v>1</v>
      </c>
    </row>
    <row r="4" spans="1:19" x14ac:dyDescent="0.25">
      <c r="C4" s="4" t="s">
        <v>2</v>
      </c>
      <c r="D4" s="4" t="s">
        <v>3</v>
      </c>
      <c r="F4" s="5" t="s">
        <v>5</v>
      </c>
      <c r="G4" s="5" t="s">
        <v>6</v>
      </c>
      <c r="H4" s="5" t="s">
        <v>4</v>
      </c>
      <c r="J4" s="7" t="s">
        <v>8</v>
      </c>
      <c r="K4" s="7"/>
      <c r="L4" s="7"/>
      <c r="M4" s="7"/>
      <c r="N4" s="7"/>
      <c r="O4" s="7"/>
      <c r="P4" s="7"/>
      <c r="Q4" s="7"/>
      <c r="R4" s="7"/>
      <c r="S4" s="7"/>
    </row>
    <row r="5" spans="1:19" ht="19.25" customHeight="1" x14ac:dyDescent="0.25">
      <c r="C5" s="3">
        <v>1</v>
      </c>
      <c r="D5" s="3">
        <v>6500</v>
      </c>
      <c r="F5">
        <f>MAX(D5:D11)</f>
        <v>9000</v>
      </c>
      <c r="G5">
        <f>MIN(D5:D11)</f>
        <v>6000</v>
      </c>
      <c r="H5" s="6">
        <f>F5-G5</f>
        <v>3000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x14ac:dyDescent="0.25">
      <c r="C6" s="3">
        <v>2</v>
      </c>
      <c r="D6" s="3">
        <v>7200</v>
      </c>
    </row>
    <row r="7" spans="1:19" x14ac:dyDescent="0.25">
      <c r="C7" s="3">
        <v>3</v>
      </c>
      <c r="D7" s="3">
        <v>8000</v>
      </c>
    </row>
    <row r="8" spans="1:19" x14ac:dyDescent="0.25">
      <c r="C8" s="3">
        <v>4</v>
      </c>
      <c r="D8" s="3">
        <v>6000</v>
      </c>
    </row>
    <row r="9" spans="1:19" x14ac:dyDescent="0.25">
      <c r="C9" s="3">
        <v>5</v>
      </c>
      <c r="D9" s="3">
        <v>9000</v>
      </c>
    </row>
    <row r="10" spans="1:19" x14ac:dyDescent="0.25">
      <c r="C10" s="3">
        <v>6</v>
      </c>
      <c r="D10" s="3">
        <v>7500</v>
      </c>
    </row>
    <row r="11" spans="1:19" x14ac:dyDescent="0.25">
      <c r="C11" s="3">
        <v>7</v>
      </c>
      <c r="D11" s="3">
        <v>8200</v>
      </c>
    </row>
    <row r="15" spans="1:19" x14ac:dyDescent="0.25">
      <c r="A15" s="11" t="s">
        <v>7</v>
      </c>
      <c r="B15" s="2" t="s">
        <v>9</v>
      </c>
    </row>
    <row r="19" spans="1:15" x14ac:dyDescent="0.25">
      <c r="C19" s="4" t="s">
        <v>10</v>
      </c>
      <c r="D19" s="4" t="s">
        <v>11</v>
      </c>
      <c r="F19" s="5" t="s">
        <v>12</v>
      </c>
      <c r="G19" s="5" t="s">
        <v>13</v>
      </c>
    </row>
    <row r="20" spans="1:15" x14ac:dyDescent="0.25">
      <c r="C20" s="3">
        <v>1</v>
      </c>
      <c r="D20" s="3">
        <v>250</v>
      </c>
      <c r="F20">
        <f>_xlfn.VAR.P(D20:D24)</f>
        <v>7400</v>
      </c>
      <c r="G20" s="8">
        <f>_xlfn.STDEV.P(D20:D24)</f>
        <v>86.023252670426274</v>
      </c>
    </row>
    <row r="21" spans="1:15" x14ac:dyDescent="0.25">
      <c r="C21" s="3">
        <v>2</v>
      </c>
      <c r="D21" s="3">
        <v>400</v>
      </c>
    </row>
    <row r="22" spans="1:15" x14ac:dyDescent="0.25">
      <c r="C22" s="3">
        <v>3</v>
      </c>
      <c r="D22" s="3">
        <v>350</v>
      </c>
    </row>
    <row r="23" spans="1:15" x14ac:dyDescent="0.25">
      <c r="C23" s="3">
        <v>4</v>
      </c>
      <c r="D23" s="3">
        <v>300</v>
      </c>
    </row>
    <row r="24" spans="1:15" x14ac:dyDescent="0.25">
      <c r="C24" s="3">
        <v>5</v>
      </c>
      <c r="D24" s="3">
        <v>500</v>
      </c>
    </row>
    <row r="28" spans="1:15" ht="38.5" customHeight="1" x14ac:dyDescent="0.25">
      <c r="A28" s="11" t="s">
        <v>15</v>
      </c>
      <c r="B28" s="9" t="s">
        <v>14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31" spans="1:15" x14ac:dyDescent="0.25">
      <c r="C31" s="4" t="s">
        <v>16</v>
      </c>
      <c r="D31" s="4" t="s">
        <v>17</v>
      </c>
      <c r="F31" s="10" t="s">
        <v>18</v>
      </c>
      <c r="G31" s="10" t="s">
        <v>13</v>
      </c>
      <c r="H31" s="10" t="s">
        <v>19</v>
      </c>
    </row>
    <row r="32" spans="1:15" x14ac:dyDescent="0.25">
      <c r="C32" s="3">
        <v>1</v>
      </c>
      <c r="D32" s="3">
        <v>3.2</v>
      </c>
      <c r="F32" s="8">
        <f>AVERAGE(D32:D37)</f>
        <v>3.0833333333333335</v>
      </c>
      <c r="G32" s="8">
        <f>_xlfn.STDEV.P(D32:D37)</f>
        <v>0.22669117514559078</v>
      </c>
      <c r="H32" s="8">
        <f>(G32/F32)*100</f>
        <v>7.3521462209380788</v>
      </c>
    </row>
    <row r="33" spans="1:15" x14ac:dyDescent="0.25">
      <c r="C33" s="3">
        <v>2</v>
      </c>
      <c r="D33" s="3">
        <v>2.8</v>
      </c>
    </row>
    <row r="34" spans="1:15" x14ac:dyDescent="0.25">
      <c r="C34" s="3">
        <v>3</v>
      </c>
      <c r="D34" s="3">
        <v>3.5</v>
      </c>
    </row>
    <row r="35" spans="1:15" x14ac:dyDescent="0.25">
      <c r="C35" s="3">
        <v>4</v>
      </c>
      <c r="D35" s="3">
        <v>3</v>
      </c>
    </row>
    <row r="36" spans="1:15" x14ac:dyDescent="0.25">
      <c r="C36" s="3">
        <v>5</v>
      </c>
      <c r="D36" s="3">
        <v>2.9</v>
      </c>
    </row>
    <row r="37" spans="1:15" x14ac:dyDescent="0.25">
      <c r="C37" s="3">
        <v>6</v>
      </c>
      <c r="D37" s="3">
        <v>3.1</v>
      </c>
    </row>
    <row r="41" spans="1:15" ht="30.65" customHeight="1" x14ac:dyDescent="0.25">
      <c r="A41" s="11" t="s">
        <v>21</v>
      </c>
      <c r="B41" s="9" t="s">
        <v>20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</row>
    <row r="44" spans="1:15" x14ac:dyDescent="0.25">
      <c r="C44" s="4" t="s">
        <v>23</v>
      </c>
      <c r="D44" s="4" t="s">
        <v>22</v>
      </c>
      <c r="F44" s="10" t="s">
        <v>18</v>
      </c>
      <c r="G44" s="10" t="s">
        <v>13</v>
      </c>
    </row>
    <row r="45" spans="1:15" x14ac:dyDescent="0.25">
      <c r="C45" s="3">
        <v>1</v>
      </c>
      <c r="D45" s="3">
        <v>120</v>
      </c>
      <c r="F45" s="12">
        <f>AVERAGE(D45:D54)</f>
        <v>139.5</v>
      </c>
      <c r="G45" s="12">
        <f>_xlfn.STDEV.P(D45:D54)</f>
        <v>18.090052515125542</v>
      </c>
    </row>
    <row r="46" spans="1:15" x14ac:dyDescent="0.25">
      <c r="C46" s="3">
        <v>2</v>
      </c>
      <c r="D46" s="3">
        <v>150</v>
      </c>
    </row>
    <row r="47" spans="1:15" x14ac:dyDescent="0.25">
      <c r="C47" s="3">
        <v>3</v>
      </c>
      <c r="D47" s="3">
        <v>130</v>
      </c>
    </row>
    <row r="48" spans="1:15" x14ac:dyDescent="0.25">
      <c r="C48" s="3">
        <v>4</v>
      </c>
      <c r="D48" s="3">
        <v>110</v>
      </c>
      <c r="F48" s="7" t="s">
        <v>24</v>
      </c>
      <c r="G48" s="7"/>
      <c r="H48" s="7"/>
      <c r="I48" s="7"/>
      <c r="J48" s="7"/>
      <c r="K48" s="7"/>
      <c r="L48" s="7"/>
      <c r="M48" s="7"/>
      <c r="N48" s="7"/>
      <c r="O48" s="7"/>
    </row>
    <row r="49" spans="1:15" x14ac:dyDescent="0.25">
      <c r="C49" s="3">
        <v>5</v>
      </c>
      <c r="D49" s="3">
        <v>170</v>
      </c>
      <c r="F49" s="7"/>
      <c r="G49" s="7"/>
      <c r="H49" s="7"/>
      <c r="I49" s="7"/>
      <c r="J49" s="7"/>
      <c r="K49" s="7"/>
      <c r="L49" s="7"/>
      <c r="M49" s="7"/>
      <c r="N49" s="7"/>
      <c r="O49" s="7"/>
    </row>
    <row r="50" spans="1:15" x14ac:dyDescent="0.25">
      <c r="C50" s="3">
        <v>6</v>
      </c>
      <c r="D50" s="3">
        <v>140</v>
      </c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25">
      <c r="C51" s="3">
        <v>7</v>
      </c>
      <c r="D51" s="3">
        <v>135</v>
      </c>
    </row>
    <row r="52" spans="1:15" x14ac:dyDescent="0.25">
      <c r="C52" s="3">
        <v>8</v>
      </c>
      <c r="D52" s="3">
        <v>160</v>
      </c>
    </row>
    <row r="53" spans="1:15" x14ac:dyDescent="0.25">
      <c r="C53" s="3">
        <v>9</v>
      </c>
      <c r="D53" s="3">
        <v>125</v>
      </c>
    </row>
    <row r="54" spans="1:15" x14ac:dyDescent="0.25">
      <c r="C54" s="3">
        <v>10</v>
      </c>
      <c r="D54" s="3">
        <v>155</v>
      </c>
    </row>
    <row r="58" spans="1:15" ht="34.950000000000003" customHeight="1" x14ac:dyDescent="0.25">
      <c r="A58" s="11" t="s">
        <v>26</v>
      </c>
      <c r="B58" s="9" t="s">
        <v>25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</row>
    <row r="61" spans="1:15" x14ac:dyDescent="0.25">
      <c r="C61" s="4" t="s">
        <v>2</v>
      </c>
      <c r="D61" s="4" t="s">
        <v>27</v>
      </c>
      <c r="F61" s="10" t="s">
        <v>12</v>
      </c>
      <c r="G61" s="10" t="s">
        <v>13</v>
      </c>
    </row>
    <row r="62" spans="1:15" x14ac:dyDescent="0.25">
      <c r="C62" s="3">
        <v>1</v>
      </c>
      <c r="D62" s="3">
        <v>250</v>
      </c>
      <c r="F62" s="8">
        <f>_xlfn.VAR.P(D62:D69)</f>
        <v>16342.1875</v>
      </c>
      <c r="G62" s="8">
        <f>_xlfn.STDEV.P(D62:D69)</f>
        <v>127.83656558277839</v>
      </c>
    </row>
    <row r="63" spans="1:15" x14ac:dyDescent="0.25">
      <c r="C63" s="3">
        <v>2</v>
      </c>
      <c r="D63" s="3">
        <v>320</v>
      </c>
    </row>
    <row r="64" spans="1:15" x14ac:dyDescent="0.25">
      <c r="C64" s="3">
        <v>3</v>
      </c>
      <c r="D64" s="3">
        <v>180</v>
      </c>
    </row>
    <row r="65" spans="3:15" x14ac:dyDescent="0.25">
      <c r="C65" s="3">
        <v>4</v>
      </c>
      <c r="D65" s="3">
        <v>450</v>
      </c>
      <c r="F65" s="7" t="s">
        <v>28</v>
      </c>
      <c r="G65" s="7"/>
      <c r="H65" s="7"/>
      <c r="I65" s="7"/>
      <c r="J65" s="7"/>
      <c r="K65" s="7"/>
      <c r="L65" s="7"/>
      <c r="M65" s="7"/>
      <c r="N65" s="7"/>
      <c r="O65" s="7"/>
    </row>
    <row r="66" spans="3:15" x14ac:dyDescent="0.25">
      <c r="C66" s="3">
        <v>5</v>
      </c>
      <c r="D66" s="3">
        <v>275</v>
      </c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3:15" x14ac:dyDescent="0.25">
      <c r="C67" s="3">
        <v>6</v>
      </c>
      <c r="D67" s="3">
        <v>600</v>
      </c>
      <c r="F67" s="7"/>
      <c r="G67" s="7"/>
      <c r="H67" s="7"/>
      <c r="I67" s="7"/>
      <c r="J67" s="7"/>
      <c r="K67" s="7"/>
      <c r="L67" s="7"/>
      <c r="M67" s="7"/>
      <c r="N67" s="7"/>
      <c r="O67" s="7"/>
    </row>
    <row r="68" spans="3:15" x14ac:dyDescent="0.25">
      <c r="C68" s="3">
        <v>7</v>
      </c>
      <c r="D68" s="3">
        <v>225</v>
      </c>
    </row>
    <row r="69" spans="3:15" x14ac:dyDescent="0.25">
      <c r="C69" s="3">
        <v>8</v>
      </c>
      <c r="D69" s="3">
        <v>350</v>
      </c>
    </row>
  </sheetData>
  <mergeCells count="6">
    <mergeCell ref="J4:S5"/>
    <mergeCell ref="B28:O28"/>
    <mergeCell ref="B41:O41"/>
    <mergeCell ref="F48:O50"/>
    <mergeCell ref="B58:O58"/>
    <mergeCell ref="F65:O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 pawar</dc:creator>
  <cp:lastModifiedBy>dilip pawar</cp:lastModifiedBy>
  <dcterms:created xsi:type="dcterms:W3CDTF">2026-10-06T10:37:22Z</dcterms:created>
  <dcterms:modified xsi:type="dcterms:W3CDTF">2026-10-06T10:54:49Z</dcterms:modified>
</cp:coreProperties>
</file>