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C8C41C5-2585-4A96-8516-9CEDF1419D22}" xr6:coauthVersionLast="47" xr6:coauthVersionMax="47" xr10:uidLastSave="{00000000-0000-0000-0000-000000000000}"/>
  <bookViews>
    <workbookView xWindow="-114" yWindow="-114" windowWidth="27602" windowHeight="14927" activeTab="1" xr2:uid="{00000000-000D-0000-FFFF-FFFF00000000}"/>
  </bookViews>
  <sheets>
    <sheet name="Raw_Data" sheetId="2" r:id="rId1"/>
    <sheet name="Analysi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2" l="1"/>
  <c r="M20" i="2"/>
  <c r="M19" i="2"/>
  <c r="M18" i="2"/>
  <c r="M17" i="2"/>
  <c r="M16" i="2"/>
  <c r="M15" i="2"/>
  <c r="M14" i="2"/>
  <c r="M13" i="2"/>
  <c r="M12" i="2"/>
  <c r="E21" i="1" s="1"/>
  <c r="E22" i="1" s="1"/>
  <c r="M11" i="2"/>
  <c r="M10" i="2"/>
  <c r="M9" i="2"/>
  <c r="M8" i="2"/>
  <c r="M7" i="2"/>
  <c r="M6" i="2"/>
  <c r="M5" i="2"/>
  <c r="M4" i="2"/>
  <c r="M3" i="2"/>
  <c r="M2" i="2"/>
  <c r="B19" i="1"/>
  <c r="B18" i="1"/>
  <c r="B13" i="1"/>
  <c r="B12" i="1"/>
  <c r="B11" i="1"/>
  <c r="F7" i="1"/>
  <c r="E7" i="1"/>
  <c r="F6" i="1"/>
  <c r="E6" i="1"/>
  <c r="B6" i="1"/>
  <c r="F5" i="1"/>
  <c r="E5" i="1"/>
  <c r="B5" i="1"/>
</calcChain>
</file>

<file path=xl/sharedStrings.xml><?xml version="1.0" encoding="utf-8"?>
<sst xmlns="http://schemas.openxmlformats.org/spreadsheetml/2006/main" count="202" uniqueCount="56">
  <si>
    <t>Telco Customer Churn Analysis — 20 Raw Data Rows</t>
  </si>
  <si>
    <t>1. Churn Count</t>
  </si>
  <si>
    <t>4. InternetService vs Churn</t>
  </si>
  <si>
    <t>Churn</t>
  </si>
  <si>
    <t>Customer Count</t>
  </si>
  <si>
    <t>InternetService</t>
  </si>
  <si>
    <t>Churn = Yes</t>
  </si>
  <si>
    <t>Churn = No</t>
  </si>
  <si>
    <t>Yes</t>
  </si>
  <si>
    <t>DSL</t>
  </si>
  <si>
    <t>No</t>
  </si>
  <si>
    <t>Fiber optic</t>
  </si>
  <si>
    <t>2. Contract Type vs Churned Customers</t>
  </si>
  <si>
    <t>Contract</t>
  </si>
  <si>
    <t>Month-to-month</t>
  </si>
  <si>
    <t>One year</t>
  </si>
  <si>
    <t>Two year</t>
  </si>
  <si>
    <t>3. Average MonthlyCharges</t>
  </si>
  <si>
    <t>Average MonthlyCharges</t>
  </si>
  <si>
    <t>5. Tenure vs Churn</t>
  </si>
  <si>
    <t>CORREL result</t>
  </si>
  <si>
    <t>Interpretation</t>
  </si>
  <si>
    <t>Note</t>
  </si>
  <si>
    <t>These are 20 sample raw-data rows for completing the Excel exercise.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</si>
  <si>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</si>
  <si>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</si>
  <si>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</si>
  <si>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</si>
  <si>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</si>
  <si>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</si>
  <si>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</si>
  <si>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MonthlyCharges</t>
  </si>
  <si>
    <t>TotalCharges</t>
  </si>
  <si>
    <t>Churn_Numeric</t>
  </si>
  <si>
    <t>7590-VHVEG</t>
  </si>
  <si>
    <t>Female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</si>
  <si>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</si>
  <si>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</si>
  <si>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</si>
  <si>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</si>
  <si>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</si>
  <si>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</si>
  <si>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</si>
  <si>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</si>
  <si>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</si>
  <si>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</si>
  <si>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</si>
  <si>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</si>
  <si>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</si>
  <si>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</si>
  <si>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</si>
  <si>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8779-QRDMV</t>
  </si>
  <si>
    <t>1680-VDCWW</t>
  </si>
  <si>
    <t>5385-TOZSP</t>
  </si>
  <si>
    <t>3186-AJIEK</t>
  </si>
  <si>
    <t>5855-EVOXY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</si>
</sst>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Analysis!$E$4</c:f>
              <c:strCache>
                <c:ptCount val="1"/>
                <c:pt idx="0">
                  <c:v>Churn = Yes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strRef>
              <c:f>Analysis!$D$5:$D$7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Analysis!$E$5:$E$7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E-4497-B7CC-932C9B587961}"/>
            </c:ext>
          </c:extLst>
        </c:ser>
        <c:ser>
          <c:idx val="1"/>
          <c:order val="1"/>
          <c:tx>
            <c:strRef>
              <c:f>Analysis!$F$4</c:f>
              <c:strCache>
                <c:ptCount val="1"/>
                <c:pt idx="0">
                  <c:v>Churn = No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cat>
            <c:strRef>
              <c:f>Analysis!$D$5:$D$7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Analysis!$F$5:$F$7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E-4497-B7CC-932C9B5879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217284</xdr:colOff>
      <xdr:row>1</xdr:row>
      <xdr:rowOff>135802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lcoData" displayName="TelcoData" ref="A1:M21">
  <autoFilter ref="A1:M21" xr:uid="{00000000-0009-0000-0100-000001000000}"/>
  <tableColumns count="13">
    <tableColumn id="1" xr3:uid="{00000000-0010-0000-0000-000001000000}" name="CustomerID"/>
    <tableColumn id="2" xr3:uid="{00000000-0010-0000-0000-000002000000}" name="Gender"/>
    <tableColumn id="3" xr3:uid="{00000000-0010-0000-0000-000003000000}" name="SeniorCitizen"/>
    <tableColumn id="4" xr3:uid="{00000000-0010-0000-0000-000004000000}" name="Partner"/>
    <tableColumn id="5" xr3:uid="{00000000-0010-0000-0000-000005000000}" name="Dependents"/>
    <tableColumn id="6" xr3:uid="{00000000-0010-0000-0000-000006000000}" name="Tenure"/>
    <tableColumn id="7" xr3:uid="{00000000-0010-0000-0000-000007000000}" name="PhoneService"/>
    <tableColumn id="8" xr3:uid="{00000000-0010-0000-0000-000008000000}" name="InternetService"/>
    <tableColumn id="9" xr3:uid="{00000000-0010-0000-0000-000009000000}" name="Contract"/>
    <tableColumn id="10" xr3:uid="{00000000-0010-0000-0000-00000A000000}" name="MonthlyCharges"/>
    <tableColumn id="11" xr3:uid="{00000000-0010-0000-0000-00000B000000}" name="TotalCharges"/>
    <tableColumn id="12" xr3:uid="{00000000-0010-0000-0000-00000C000000}" name="Churn"/>
    <tableColumn id="13" xr3:uid="{00000000-0010-0000-0000-00000D000000}" name="Churn_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3" width="18" customWidth="1"/>
  </cols>
  <sheetData>
    <row r="1" spans="1:13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5</v>
      </c>
      <c r="I1" s="2" t="s">
        <v>13</v>
      </c>
      <c r="J1" s="2" t="s">
        <v>31</v>
      </c>
      <c r="K1" s="2" t="s">
        <v>32</v>
      </c>
      <c r="L1" s="2" t="s">
        <v>3</v>
      </c>
      <c r="M1" s="2" t="s">
        <v>33</v>
      </c>
    </row>
    <row r="2" spans="1:13" x14ac:dyDescent="0.25">
      <c r="A2" s="3" t="s">
        <v>34</v>
      </c>
      <c r="B2" s="3" t="s">
        <v>35</v>
      </c>
      <c r="C2" s="3">
        <v>0</v>
      </c>
      <c r="D2" s="3" t="s">
        <v>8</v>
      </c>
      <c r="E2" s="3" t="s">
        <v>10</v>
      </c>
      <c r="F2" s="3">
        <v>1</v>
      </c>
      <c r="G2" s="3" t="s">
        <v>10</v>
      </c>
      <c r="H2" s="3" t="s">
        <v>9</v>
      </c>
      <c r="I2" s="3" t="s">
        <v>14</v>
      </c>
      <c r="J2" s="3">
        <v>29.85</v>
      </c>
      <c r="K2" s="3">
        <v>29.85</v>
      </c>
      <c r="L2" s="3" t="s">
        <v>8</v>
      </c>
      <c r="M2" s="3">
        <f t="shared" ref="M2:M21" si="0">IF(L2="Yes",1,IF(L2="No",0,""))</f>
        <v>1</v>
      </c>
    </row>
    <row r="3" spans="1:13" x14ac:dyDescent="0.25">
      <c r="A3" s="3" t="s">
        <v>36</v>
      </c>
      <c r="B3" s="3" t="s">
        <v>37</v>
      </c>
      <c r="C3" s="3">
        <v>0</v>
      </c>
      <c r="D3" s="3" t="s">
        <v>10</v>
      </c>
      <c r="E3" s="3" t="s">
        <v>10</v>
      </c>
      <c r="F3" s="3">
        <v>34</v>
      </c>
      <c r="G3" s="3" t="s">
        <v>8</v>
      </c>
      <c r="H3" s="3" t="s">
        <v>9</v>
      </c>
      <c r="I3" s="3" t="s">
        <v>15</v>
      </c>
      <c r="J3" s="3">
        <v>56.95</v>
      </c>
      <c r="K3" s="3">
        <v>1889.5</v>
      </c>
      <c r="L3" s="3" t="s">
        <v>10</v>
      </c>
      <c r="M3" s="3">
        <f t="shared" si="0"/>
        <v>0</v>
      </c>
    </row>
    <row r="4" spans="1:13" x14ac:dyDescent="0.25">
      <c r="A4" s="3" t="s">
        <v>38</v>
      </c>
      <c r="B4" s="3" t="s">
        <v>37</v>
      </c>
      <c r="C4" s="3">
        <v>0</v>
      </c>
      <c r="D4" s="3" t="s">
        <v>10</v>
      </c>
      <c r="E4" s="3" t="s">
        <v>10</v>
      </c>
      <c r="F4" s="3">
        <v>2</v>
      </c>
      <c r="G4" s="3" t="s">
        <v>8</v>
      </c>
      <c r="H4" s="3" t="s">
        <v>9</v>
      </c>
      <c r="I4" s="3" t="s">
        <v>14</v>
      </c>
      <c r="J4" s="3">
        <v>53.85</v>
      </c>
      <c r="K4" s="3">
        <v>108.15</v>
      </c>
      <c r="L4" s="3" t="s">
        <v>8</v>
      </c>
      <c r="M4" s="3">
        <f t="shared" si="0"/>
        <v>1</v>
      </c>
    </row>
    <row r="5" spans="1:13" x14ac:dyDescent="0.25">
      <c r="A5" s="3" t="s">
        <v>39</v>
      </c>
      <c r="B5" s="3" t="s">
        <v>37</v>
      </c>
      <c r="C5" s="3">
        <v>0</v>
      </c>
      <c r="D5" s="3" t="s">
        <v>10</v>
      </c>
      <c r="E5" s="3" t="s">
        <v>10</v>
      </c>
      <c r="F5" s="3">
        <v>45</v>
      </c>
      <c r="G5" s="3" t="s">
        <v>10</v>
      </c>
      <c r="H5" s="3" t="s">
        <v>9</v>
      </c>
      <c r="I5" s="3" t="s">
        <v>15</v>
      </c>
      <c r="J5" s="3">
        <v>42.3</v>
      </c>
      <c r="K5" s="3">
        <v>1840.75</v>
      </c>
      <c r="L5" s="3" t="s">
        <v>10</v>
      </c>
      <c r="M5" s="3">
        <f t="shared" si="0"/>
        <v>0</v>
      </c>
    </row>
    <row r="6" spans="1:13" x14ac:dyDescent="0.25">
      <c r="A6" s="3" t="s">
        <v>40</v>
      </c>
      <c r="B6" s="3" t="s">
        <v>35</v>
      </c>
      <c r="C6" s="3">
        <v>0</v>
      </c>
      <c r="D6" s="3" t="s">
        <v>10</v>
      </c>
      <c r="E6" s="3" t="s">
        <v>10</v>
      </c>
      <c r="F6" s="3">
        <v>2</v>
      </c>
      <c r="G6" s="3" t="s">
        <v>8</v>
      </c>
      <c r="H6" s="3" t="s">
        <v>11</v>
      </c>
      <c r="I6" s="3" t="s">
        <v>14</v>
      </c>
      <c r="J6" s="3">
        <v>70.7</v>
      </c>
      <c r="K6" s="3">
        <v>151.65</v>
      </c>
      <c r="L6" s="3" t="s">
        <v>8</v>
      </c>
      <c r="M6" s="3">
        <f t="shared" si="0"/>
        <v>1</v>
      </c>
    </row>
    <row r="7" spans="1:13" x14ac:dyDescent="0.25">
      <c r="A7" s="3" t="s">
        <v>41</v>
      </c>
      <c r="B7" s="3" t="s">
        <v>35</v>
      </c>
      <c r="C7" s="3">
        <v>0</v>
      </c>
      <c r="D7" s="3" t="s">
        <v>10</v>
      </c>
      <c r="E7" s="3" t="s">
        <v>10</v>
      </c>
      <c r="F7" s="3">
        <v>8</v>
      </c>
      <c r="G7" s="3" t="s">
        <v>8</v>
      </c>
      <c r="H7" s="3" t="s">
        <v>11</v>
      </c>
      <c r="I7" s="3" t="s">
        <v>14</v>
      </c>
      <c r="J7" s="3">
        <v>99.65</v>
      </c>
      <c r="K7" s="3">
        <v>820.5</v>
      </c>
      <c r="L7" s="3" t="s">
        <v>8</v>
      </c>
      <c r="M7" s="3">
        <f t="shared" si="0"/>
        <v>1</v>
      </c>
    </row>
    <row r="8" spans="1:13" x14ac:dyDescent="0.25">
      <c r="A8" s="3" t="s">
        <v>42</v>
      </c>
      <c r="B8" s="3" t="s">
        <v>37</v>
      </c>
      <c r="C8" s="3">
        <v>0</v>
      </c>
      <c r="D8" s="3" t="s">
        <v>10</v>
      </c>
      <c r="E8" s="3" t="s">
        <v>8</v>
      </c>
      <c r="F8" s="3">
        <v>22</v>
      </c>
      <c r="G8" s="3" t="s">
        <v>8</v>
      </c>
      <c r="H8" s="3" t="s">
        <v>11</v>
      </c>
      <c r="I8" s="3" t="s">
        <v>14</v>
      </c>
      <c r="J8" s="3">
        <v>89.1</v>
      </c>
      <c r="K8" s="3">
        <v>1949.4</v>
      </c>
      <c r="L8" s="3" t="s">
        <v>10</v>
      </c>
      <c r="M8" s="3">
        <f t="shared" si="0"/>
        <v>0</v>
      </c>
    </row>
    <row r="9" spans="1:13" x14ac:dyDescent="0.25">
      <c r="A9" s="3" t="s">
        <v>43</v>
      </c>
      <c r="B9" s="3" t="s">
        <v>35</v>
      </c>
      <c r="C9" s="3">
        <v>0</v>
      </c>
      <c r="D9" s="3" t="s">
        <v>10</v>
      </c>
      <c r="E9" s="3" t="s">
        <v>10</v>
      </c>
      <c r="F9" s="3">
        <v>10</v>
      </c>
      <c r="G9" s="3" t="s">
        <v>10</v>
      </c>
      <c r="H9" s="3" t="s">
        <v>9</v>
      </c>
      <c r="I9" s="3" t="s">
        <v>14</v>
      </c>
      <c r="J9" s="3">
        <v>29.75</v>
      </c>
      <c r="K9" s="3">
        <v>301.89999999999998</v>
      </c>
      <c r="L9" s="3" t="s">
        <v>10</v>
      </c>
      <c r="M9" s="3">
        <f t="shared" si="0"/>
        <v>0</v>
      </c>
    </row>
    <row r="10" spans="1:13" x14ac:dyDescent="0.25">
      <c r="A10" s="3" t="s">
        <v>44</v>
      </c>
      <c r="B10" s="3" t="s">
        <v>35</v>
      </c>
      <c r="C10" s="3">
        <v>0</v>
      </c>
      <c r="D10" s="3" t="s">
        <v>8</v>
      </c>
      <c r="E10" s="3" t="s">
        <v>10</v>
      </c>
      <c r="F10" s="3">
        <v>28</v>
      </c>
      <c r="G10" s="3" t="s">
        <v>8</v>
      </c>
      <c r="H10" s="3" t="s">
        <v>11</v>
      </c>
      <c r="I10" s="3" t="s">
        <v>14</v>
      </c>
      <c r="J10" s="3">
        <v>104.8</v>
      </c>
      <c r="K10" s="3">
        <v>3046.05</v>
      </c>
      <c r="L10" s="3" t="s">
        <v>8</v>
      </c>
      <c r="M10" s="3">
        <f t="shared" si="0"/>
        <v>1</v>
      </c>
    </row>
    <row r="11" spans="1:13" x14ac:dyDescent="0.25">
      <c r="A11" s="3" t="s">
        <v>45</v>
      </c>
      <c r="B11" s="3" t="s">
        <v>37</v>
      </c>
      <c r="C11" s="3">
        <v>0</v>
      </c>
      <c r="D11" s="3" t="s">
        <v>10</v>
      </c>
      <c r="E11" s="3" t="s">
        <v>8</v>
      </c>
      <c r="F11" s="3">
        <v>62</v>
      </c>
      <c r="G11" s="3" t="s">
        <v>8</v>
      </c>
      <c r="H11" s="3" t="s">
        <v>9</v>
      </c>
      <c r="I11" s="3" t="s">
        <v>16</v>
      </c>
      <c r="J11" s="3">
        <v>56.15</v>
      </c>
      <c r="K11" s="3">
        <v>3489.2</v>
      </c>
      <c r="L11" s="3" t="s">
        <v>10</v>
      </c>
      <c r="M11" s="3">
        <f t="shared" si="0"/>
        <v>0</v>
      </c>
    </row>
    <row r="12" spans="1:13" x14ac:dyDescent="0.25">
      <c r="A12" s="3" t="s">
        <v>46</v>
      </c>
      <c r="B12" s="3" t="s">
        <v>37</v>
      </c>
      <c r="C12" s="3">
        <v>0</v>
      </c>
      <c r="D12" s="3" t="s">
        <v>8</v>
      </c>
      <c r="E12" s="3" t="s">
        <v>8</v>
      </c>
      <c r="F12" s="3">
        <v>13</v>
      </c>
      <c r="G12" s="3" t="s">
        <v>8</v>
      </c>
      <c r="H12" s="3" t="s">
        <v>9</v>
      </c>
      <c r="I12" s="3" t="s">
        <v>14</v>
      </c>
      <c r="J12" s="3">
        <v>49.95</v>
      </c>
      <c r="K12" s="3">
        <v>587.45000000000005</v>
      </c>
      <c r="L12" s="3" t="s">
        <v>10</v>
      </c>
      <c r="M12" s="3">
        <f t="shared" si="0"/>
        <v>0</v>
      </c>
    </row>
    <row r="13" spans="1:13" x14ac:dyDescent="0.25">
      <c r="A13" s="3" t="s">
        <v>47</v>
      </c>
      <c r="B13" s="3" t="s">
        <v>37</v>
      </c>
      <c r="C13" s="3">
        <v>0</v>
      </c>
      <c r="D13" s="3" t="s">
        <v>10</v>
      </c>
      <c r="E13" s="3" t="s">
        <v>10</v>
      </c>
      <c r="F13" s="3">
        <v>16</v>
      </c>
      <c r="G13" s="3" t="s">
        <v>8</v>
      </c>
      <c r="H13" s="3" t="s">
        <v>10</v>
      </c>
      <c r="I13" s="3" t="s">
        <v>16</v>
      </c>
      <c r="J13" s="3">
        <v>20.5</v>
      </c>
      <c r="K13" s="3">
        <v>330.6</v>
      </c>
      <c r="L13" s="3" t="s">
        <v>10</v>
      </c>
      <c r="M13" s="3">
        <f t="shared" si="0"/>
        <v>0</v>
      </c>
    </row>
    <row r="14" spans="1:13" x14ac:dyDescent="0.25">
      <c r="A14" s="3" t="s">
        <v>48</v>
      </c>
      <c r="B14" s="3" t="s">
        <v>37</v>
      </c>
      <c r="C14" s="3">
        <v>0</v>
      </c>
      <c r="D14" s="3" t="s">
        <v>8</v>
      </c>
      <c r="E14" s="3" t="s">
        <v>10</v>
      </c>
      <c r="F14" s="3">
        <v>58</v>
      </c>
      <c r="G14" s="3" t="s">
        <v>8</v>
      </c>
      <c r="H14" s="3" t="s">
        <v>11</v>
      </c>
      <c r="I14" s="3" t="s">
        <v>15</v>
      </c>
      <c r="J14" s="3">
        <v>100.35</v>
      </c>
      <c r="K14" s="3">
        <v>5681.1</v>
      </c>
      <c r="L14" s="3" t="s">
        <v>10</v>
      </c>
      <c r="M14" s="3">
        <f t="shared" si="0"/>
        <v>0</v>
      </c>
    </row>
    <row r="15" spans="1:13" x14ac:dyDescent="0.25">
      <c r="A15" s="3" t="s">
        <v>49</v>
      </c>
      <c r="B15" s="3" t="s">
        <v>35</v>
      </c>
      <c r="C15" s="3">
        <v>0</v>
      </c>
      <c r="D15" s="3" t="s">
        <v>10</v>
      </c>
      <c r="E15" s="3" t="s">
        <v>10</v>
      </c>
      <c r="F15" s="3">
        <v>49</v>
      </c>
      <c r="G15" s="3" t="s">
        <v>8</v>
      </c>
      <c r="H15" s="3" t="s">
        <v>11</v>
      </c>
      <c r="I15" s="3" t="s">
        <v>14</v>
      </c>
      <c r="J15" s="3">
        <v>103.7</v>
      </c>
      <c r="K15" s="3">
        <v>5030.55</v>
      </c>
      <c r="L15" s="3" t="s">
        <v>8</v>
      </c>
      <c r="M15" s="3">
        <f t="shared" si="0"/>
        <v>1</v>
      </c>
    </row>
    <row r="16" spans="1:13" x14ac:dyDescent="0.25">
      <c r="A16" s="3" t="s">
        <v>50</v>
      </c>
      <c r="B16" s="3" t="s">
        <v>37</v>
      </c>
      <c r="C16" s="3">
        <v>0</v>
      </c>
      <c r="D16" s="3" t="s">
        <v>10</v>
      </c>
      <c r="E16" s="3" t="s">
        <v>10</v>
      </c>
      <c r="F16" s="3">
        <v>25</v>
      </c>
      <c r="G16" s="3" t="s">
        <v>8</v>
      </c>
      <c r="H16" s="3" t="s">
        <v>11</v>
      </c>
      <c r="I16" s="3" t="s">
        <v>14</v>
      </c>
      <c r="J16" s="3">
        <v>105.5</v>
      </c>
      <c r="K16" s="3">
        <v>2686.05</v>
      </c>
      <c r="L16" s="3" t="s">
        <v>8</v>
      </c>
      <c r="M16" s="3">
        <f t="shared" si="0"/>
        <v>1</v>
      </c>
    </row>
    <row r="17" spans="1:13" x14ac:dyDescent="0.25">
      <c r="A17" s="3" t="s">
        <v>51</v>
      </c>
      <c r="B17" s="3" t="s">
        <v>37</v>
      </c>
      <c r="C17" s="3">
        <v>0</v>
      </c>
      <c r="D17" s="3" t="s">
        <v>10</v>
      </c>
      <c r="E17" s="3" t="s">
        <v>10</v>
      </c>
      <c r="F17" s="3">
        <v>9</v>
      </c>
      <c r="G17" s="3" t="s">
        <v>8</v>
      </c>
      <c r="H17" s="3" t="s">
        <v>11</v>
      </c>
      <c r="I17" s="3" t="s">
        <v>14</v>
      </c>
      <c r="J17" s="3">
        <v>95.2</v>
      </c>
      <c r="K17" s="3">
        <v>853.1</v>
      </c>
      <c r="L17" s="3" t="s">
        <v>8</v>
      </c>
      <c r="M17" s="3">
        <f t="shared" si="0"/>
        <v>1</v>
      </c>
    </row>
    <row r="18" spans="1:13" x14ac:dyDescent="0.25">
      <c r="A18" s="3" t="s">
        <v>52</v>
      </c>
      <c r="B18" s="3" t="s">
        <v>35</v>
      </c>
      <c r="C18" s="3">
        <v>0</v>
      </c>
      <c r="D18" s="3" t="s">
        <v>8</v>
      </c>
      <c r="E18" s="3" t="s">
        <v>8</v>
      </c>
      <c r="F18" s="3">
        <v>55</v>
      </c>
      <c r="G18" s="3" t="s">
        <v>8</v>
      </c>
      <c r="H18" s="3" t="s">
        <v>10</v>
      </c>
      <c r="I18" s="3" t="s">
        <v>16</v>
      </c>
      <c r="J18" s="3">
        <v>19.75</v>
      </c>
      <c r="K18" s="3">
        <v>1090.5999999999999</v>
      </c>
      <c r="L18" s="3" t="s">
        <v>10</v>
      </c>
      <c r="M18" s="3">
        <f t="shared" si="0"/>
        <v>0</v>
      </c>
    </row>
    <row r="19" spans="1:13" x14ac:dyDescent="0.25">
      <c r="A19" s="3" t="s">
        <v>53</v>
      </c>
      <c r="B19" s="3" t="s">
        <v>35</v>
      </c>
      <c r="C19" s="3">
        <v>0</v>
      </c>
      <c r="D19" s="3" t="s">
        <v>10</v>
      </c>
      <c r="E19" s="3" t="s">
        <v>8</v>
      </c>
      <c r="F19" s="3">
        <v>4</v>
      </c>
      <c r="G19" s="3" t="s">
        <v>8</v>
      </c>
      <c r="H19" s="3" t="s">
        <v>11</v>
      </c>
      <c r="I19" s="3" t="s">
        <v>14</v>
      </c>
      <c r="J19" s="3">
        <v>89.25</v>
      </c>
      <c r="K19" s="3">
        <v>368.1</v>
      </c>
      <c r="L19" s="3" t="s">
        <v>8</v>
      </c>
      <c r="M19" s="3">
        <f t="shared" si="0"/>
        <v>1</v>
      </c>
    </row>
    <row r="20" spans="1:13" x14ac:dyDescent="0.25">
      <c r="A20" s="3" t="s">
        <v>54</v>
      </c>
      <c r="B20" s="3" t="s">
        <v>37</v>
      </c>
      <c r="C20" s="3">
        <v>0</v>
      </c>
      <c r="D20" s="3" t="s">
        <v>8</v>
      </c>
      <c r="E20" s="3" t="s">
        <v>10</v>
      </c>
      <c r="F20" s="3">
        <v>70</v>
      </c>
      <c r="G20" s="3" t="s">
        <v>8</v>
      </c>
      <c r="H20" s="3" t="s">
        <v>9</v>
      </c>
      <c r="I20" s="3" t="s">
        <v>16</v>
      </c>
      <c r="J20" s="3">
        <v>64.25</v>
      </c>
      <c r="K20" s="3">
        <v>4568.2</v>
      </c>
      <c r="L20" s="3" t="s">
        <v>10</v>
      </c>
      <c r="M20" s="3">
        <f t="shared" si="0"/>
        <v>0</v>
      </c>
    </row>
    <row r="21" spans="1:13" x14ac:dyDescent="0.25">
      <c r="A21" s="3" t="s">
        <v>55</v>
      </c>
      <c r="B21" s="3" t="s">
        <v>35</v>
      </c>
      <c r="C21" s="3">
        <v>0</v>
      </c>
      <c r="D21" s="3" t="s">
        <v>10</v>
      </c>
      <c r="E21" s="3" t="s">
        <v>10</v>
      </c>
      <c r="F21" s="3">
        <v>12</v>
      </c>
      <c r="G21" s="3" t="s">
        <v>8</v>
      </c>
      <c r="H21" s="3" t="s">
        <v>11</v>
      </c>
      <c r="I21" s="3" t="s">
        <v>14</v>
      </c>
      <c r="J21" s="3">
        <v>99.9</v>
      </c>
      <c r="K21" s="3">
        <v>1190.4000000000001</v>
      </c>
      <c r="L21" s="3" t="s">
        <v>8</v>
      </c>
      <c r="M21" s="3">
        <f t="shared" si="0"/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14" sqref="F14"/>
    </sheetView>
  </sheetViews>
  <sheetFormatPr defaultRowHeight="14.3" x14ac:dyDescent="0.25"/>
  <cols>
    <col min="1" max="1" width="32" customWidth="1"/>
    <col min="2" max="2" width="22" customWidth="1"/>
    <col min="3" max="3" width="18" customWidth="1"/>
    <col min="4" max="4" width="28" customWidth="1"/>
    <col min="5" max="5" width="34" customWidth="1"/>
    <col min="6" max="13" width="18" customWidth="1"/>
  </cols>
  <sheetData>
    <row r="1" spans="1:6" ht="20.7" x14ac:dyDescent="0.25">
      <c r="A1" s="4" t="s">
        <v>0</v>
      </c>
      <c r="B1" s="5"/>
      <c r="C1" s="5"/>
      <c r="D1" s="5"/>
      <c r="E1" s="5"/>
      <c r="F1" s="5"/>
    </row>
    <row r="3" spans="1:6" x14ac:dyDescent="0.25">
      <c r="A3" s="1" t="s">
        <v>1</v>
      </c>
      <c r="D3" s="1" t="s">
        <v>2</v>
      </c>
    </row>
    <row r="4" spans="1:6" x14ac:dyDescent="0.25">
      <c r="A4" s="2" t="s">
        <v>3</v>
      </c>
      <c r="B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3" t="s">
        <v>8</v>
      </c>
      <c r="B5" s="3">
        <f>COUNTIF(Raw_Data!$L$2:$L$21,A5)</f>
        <v>10</v>
      </c>
      <c r="D5" s="3" t="s">
        <v>9</v>
      </c>
      <c r="E5" s="3">
        <f>COUNTIFS(Raw_Data!$H$2:$H$21,D5,Raw_Data!$L$2:$L$21,"Yes")</f>
        <v>2</v>
      </c>
      <c r="F5" s="3">
        <f>COUNTIFS(Raw_Data!$H$2:$H$21,D5,Raw_Data!$L$2:$L$21,"No")</f>
        <v>6</v>
      </c>
    </row>
    <row r="6" spans="1:6" x14ac:dyDescent="0.25">
      <c r="A6" s="3" t="s">
        <v>10</v>
      </c>
      <c r="B6" s="3">
        <f>COUNTIF(Raw_Data!$L$2:$L$21,A6)</f>
        <v>10</v>
      </c>
      <c r="D6" s="3" t="s">
        <v>11</v>
      </c>
      <c r="E6" s="3">
        <f>COUNTIFS(Raw_Data!$H$2:$H$21,D6,Raw_Data!$L$2:$L$21,"Yes")</f>
        <v>8</v>
      </c>
      <c r="F6" s="3">
        <f>COUNTIFS(Raw_Data!$H$2:$H$21,D6,Raw_Data!$L$2:$L$21,"No")</f>
        <v>2</v>
      </c>
    </row>
    <row r="7" spans="1:6" x14ac:dyDescent="0.25">
      <c r="D7" s="3" t="s">
        <v>10</v>
      </c>
      <c r="E7" s="3">
        <f>COUNTIFS(Raw_Data!$H$2:$H$21,D7,Raw_Data!$L$2:$L$21,"Yes")</f>
        <v>0</v>
      </c>
      <c r="F7" s="3">
        <f>COUNTIFS(Raw_Data!$H$2:$H$21,D7,Raw_Data!$L$2:$L$21,"No")</f>
        <v>2</v>
      </c>
    </row>
    <row r="9" spans="1:6" x14ac:dyDescent="0.25">
      <c r="A9" s="1" t="s">
        <v>12</v>
      </c>
    </row>
    <row r="10" spans="1:6" x14ac:dyDescent="0.25">
      <c r="A10" s="2" t="s">
        <v>13</v>
      </c>
      <c r="B10" s="2" t="s">
        <v>6</v>
      </c>
    </row>
    <row r="11" spans="1:6" x14ac:dyDescent="0.25">
      <c r="A11" s="3" t="s">
        <v>14</v>
      </c>
      <c r="B11" s="3">
        <f>COUNTIFS(Raw_Data!$I$2:$I$21,A11,Raw_Data!$L$2:$L$21,"Yes")</f>
        <v>10</v>
      </c>
    </row>
    <row r="12" spans="1:6" x14ac:dyDescent="0.25">
      <c r="A12" s="3" t="s">
        <v>15</v>
      </c>
      <c r="B12" s="3">
        <f>COUNTIFS(Raw_Data!$I$2:$I$21,A12,Raw_Data!$L$2:$L$21,"Yes")</f>
        <v>0</v>
      </c>
    </row>
    <row r="13" spans="1:6" x14ac:dyDescent="0.25">
      <c r="A13" s="3" t="s">
        <v>16</v>
      </c>
      <c r="B13" s="3">
        <f>COUNTIFS(Raw_Data!$I$2:$I$21,A13,Raw_Data!$L$2:$L$21,"Yes")</f>
        <v>0</v>
      </c>
    </row>
    <row r="16" spans="1:6" x14ac:dyDescent="0.25">
      <c r="A16" s="1" t="s">
        <v>17</v>
      </c>
    </row>
    <row r="17" spans="1:5" x14ac:dyDescent="0.25">
      <c r="A17" s="2" t="s">
        <v>3</v>
      </c>
      <c r="B17" s="2" t="s">
        <v>18</v>
      </c>
    </row>
    <row r="18" spans="1:5" x14ac:dyDescent="0.25">
      <c r="A18" s="3" t="s">
        <v>8</v>
      </c>
      <c r="B18" s="3">
        <f>AVERAGEIF(Raw_Data!$L$2:$L$21,A18,Raw_Data!$J$2:$J$21)</f>
        <v>85.24</v>
      </c>
    </row>
    <row r="19" spans="1:5" x14ac:dyDescent="0.25">
      <c r="A19" s="3" t="s">
        <v>10</v>
      </c>
      <c r="B19" s="3">
        <f>AVERAGEIF(Raw_Data!$L$2:$L$21,A19,Raw_Data!$J$2:$J$21)</f>
        <v>52.904999999999994</v>
      </c>
    </row>
    <row r="20" spans="1:5" x14ac:dyDescent="0.25">
      <c r="D20" s="1" t="s">
        <v>19</v>
      </c>
    </row>
    <row r="21" spans="1:5" x14ac:dyDescent="0.25">
      <c r="D21" s="3" t="s">
        <v>20</v>
      </c>
      <c r="E21" s="3">
        <f>CORREL(Raw_Data!$F$2:$F$21,Raw_Data!$M$2:$M$21)</f>
        <v>-0.55722848297287042</v>
      </c>
    </row>
    <row r="22" spans="1:5" x14ac:dyDescent="0.25">
      <c r="D22" s="3" t="s">
        <v>21</v>
      </c>
      <c r="E22" s="3" t="str">
        <f>IF(E21&lt;0,"Negative correlation: longer tenure is associated with lower churn.",IF(E21&gt;0,"Positive correlation: longer tenure is associated with higher churn.","No linear correlation."))</f>
        <v>Negative correlation: longer tenure is associated with lower churn.</v>
      </c>
    </row>
    <row r="24" spans="1:5" x14ac:dyDescent="0.25">
      <c r="D24" s="3" t="s">
        <v>22</v>
      </c>
      <c r="E24" s="3" t="s">
        <v>23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pawar</cp:lastModifiedBy>
  <dcterms:created xsi:type="dcterms:W3CDTF">2026-10-06T17:57:53Z</dcterms:created>
  <dcterms:modified xsi:type="dcterms:W3CDTF">2026-10-06T18:02:48Z</dcterms:modified>
</cp:coreProperties>
</file>