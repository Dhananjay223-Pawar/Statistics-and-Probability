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48a33403e70c3ed1/Desktop/Data Analyst course/Statistic session/"/>
    </mc:Choice>
  </mc:AlternateContent>
  <xr:revisionPtr revIDLastSave="46" documentId="8_{7D7B16D5-B32C-43EA-B292-A5F39DACD37D}" xr6:coauthVersionLast="47" xr6:coauthVersionMax="47" xr10:uidLastSave="{FAEDC97D-4C10-4DD9-A004-2E527E93419A}"/>
  <bookViews>
    <workbookView xWindow="-114" yWindow="-114" windowWidth="27602" windowHeight="14927" xr2:uid="{42519F2D-792D-4060-876C-3546FC7FABF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2" i="1" l="1"/>
  <c r="E52" i="1"/>
  <c r="D33" i="1" a="1"/>
  <c r="D33" i="1" s="1"/>
  <c r="D34" i="1" a="1"/>
  <c r="D34" i="1" s="1"/>
  <c r="D35" i="1" a="1"/>
  <c r="D35" i="1" s="1"/>
  <c r="D36" i="1" a="1"/>
  <c r="D36" i="1" s="1"/>
  <c r="D37" i="1" a="1"/>
  <c r="D37" i="1" s="1"/>
  <c r="D38" i="1" a="1"/>
  <c r="D38" i="1" s="1"/>
  <c r="D39" i="1" a="1"/>
  <c r="D39" i="1" s="1"/>
  <c r="D40" i="1" a="1"/>
  <c r="D40" i="1" s="1"/>
  <c r="D41" i="1" a="1"/>
  <c r="D41" i="1" s="1"/>
  <c r="D42" i="1" a="1"/>
  <c r="D42" i="1" s="1"/>
  <c r="D43" i="1" a="1"/>
  <c r="D43" i="1" s="1"/>
  <c r="D32" i="1" a="1"/>
  <c r="D32" i="1" s="1"/>
  <c r="E32" i="1" a="1"/>
  <c r="E32" i="1" s="1"/>
  <c r="F17" i="1"/>
  <c r="F4" i="1"/>
  <c r="F32" i="1"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<sst xmlns="http://schemas.openxmlformats.org/spreadsheetml/2006/main" count="34" uniqueCount="24">
  <si>
    <t>Task 1</t>
  </si>
  <si>
    <t>Create an array of 7 daily step counts (e.g., from your phone's fitness app) and write code to calculate the mean (average) number of steps.</t>
  </si>
  <si>
    <t>Days</t>
  </si>
  <si>
    <t>Steps</t>
  </si>
  <si>
    <t>Day</t>
  </si>
  <si>
    <t>Mean</t>
  </si>
  <si>
    <t>Given this list of food delivery times in minutes for your last 9 Zomato/Swiggy orders: [32, 28, 29, 45, 30, 31, 60, 30, 29], write a function to find the median delivery time.</t>
  </si>
  <si>
    <t>Task 2</t>
  </si>
  <si>
    <t>Order</t>
  </si>
  <si>
    <t>Delivery Time (min)</t>
  </si>
  <si>
    <t>Median</t>
  </si>
  <si>
    <t>Imagine you tracked the genres of 12 YouTube videos you watched this week: ['Music', 'Vlog', 'Music', 'Tech', 'Music', 'Vlog', 'Tech', 'Music', 'Comedy', 'Vlog', 'Music', 'Comedy']. Write code to determine the mode (most watched genre).</t>
  </si>
  <si>
    <t>Task 3</t>
  </si>
  <si>
    <t>Video</t>
  </si>
  <si>
    <t>Genre</t>
  </si>
  <si>
    <t>Music</t>
  </si>
  <si>
    <t>Vlog</t>
  </si>
  <si>
    <t>Tech</t>
  </si>
  <si>
    <t>Comedy</t>
  </si>
  <si>
    <t>Mode</t>
  </si>
  <si>
    <t>Task 4</t>
  </si>
  <si>
    <t>Take this array of daily UPI transaction amounts (in Rs. ): [100, 120, 105, 110, 5000, 115, 108]. Calculate both the mean and the median, then explain in 2-3 lines which is a better measure of your 'typical' transaction and why. Hint: Consider the effect of the Rs. 5000 value.</t>
  </si>
  <si>
    <t>Transaction Amount (Rs. )</t>
  </si>
  <si>
    <t>The median of Rs. 110 is a better measure of the typical transaction because Rs. 5,000 is an extreme outlier. The outlier increases the mean to Rs. 808, while the median remains closer to the usual transaction amounts.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</si>
</sst>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6">
    <fill>
      <patternFill patternType="none"/>
    </fill>
    <fill>
      <patternFill patternType="gray125"/>
    </fill>
    <fill>
      <patternFill patternType="solid">
        <fgColor theme="8" tint="-0.499984740745262"/>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vertical="center"/>
    </xf>
    <xf numFmtId="0" fontId="2" fillId="0" borderId="0" xfId="0" applyFont="1" applyAlignment="1">
      <alignment vertical="center"/>
    </xf>
    <xf numFmtId="0" fontId="0" fillId="0" borderId="0" xfId="0" applyAlignment="1">
      <alignment horizontal="center" vertical="center" wrapText="1"/>
    </xf>
    <xf numFmtId="0" fontId="0" fillId="3" borderId="0" xfId="0" applyFill="1" applyAlignment="1">
      <alignment horizontal="center" vertical="center"/>
    </xf>
    <xf numFmtId="0" fontId="0" fillId="4" borderId="0" xfId="0" applyFill="1"/>
    <xf numFmtId="1" fontId="0" fillId="0" borderId="0" xfId="0" applyNumberFormat="1"/>
    <xf numFmtId="0" fontId="0" fillId="3" borderId="0" xfId="0" applyFill="1" applyAlignment="1">
      <alignment horizontal="center" vertical="center" wrapText="1"/>
    </xf>
    <xf numFmtId="0" fontId="0" fillId="4" borderId="0" xfId="0" applyFill="1" applyAlignment="1">
      <alignment vertical="center"/>
    </xf>
    <xf numFmtId="0" fontId="0" fillId="0" borderId="0" xfId="0" applyAlignment="1">
      <alignment horizontal="center"/>
    </xf>
    <xf numFmtId="0" fontId="2" fillId="0" borderId="0" xfId="0" applyFont="1" applyAlignment="1">
      <alignment horizontal="left" vertical="center" wrapText="1"/>
    </xf>
    <xf numFmtId="0" fontId="1" fillId="2" borderId="0" xfId="0" applyFont="1" applyFill="1" applyAlignment="1">
      <alignment vertical="center"/>
    </xf>
    <xf numFmtId="0" fontId="0" fillId="5" borderId="0" xfId="0"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A0C35-4625-447E-ADE0-2F346ECBC149}">
  <dimension ref="A1:Q58"/>
  <sheetViews>
    <sheetView tabSelected="1" topLeftCell="A32" workbookViewId="0">
      <selection activeCell="J59" sqref="J59"/>
    </sheetView>
  </sheetViews>
  <sheetFormatPr defaultRowHeight="14.3" x14ac:dyDescent="0.25"/>
  <cols>
    <col min="1" max="1" width="9.140625" style="1"/>
    <col min="2" max="2" width="13.28515625" customWidth="1"/>
    <col min="3" max="4" width="14.7109375" customWidth="1"/>
  </cols>
  <sheetData>
    <row r="1" spans="1:6" x14ac:dyDescent="0.25">
      <c r="A1" s="11" t="s">
        <v>0</v>
      </c>
      <c r="B1" s="2" t="s">
        <v>1</v>
      </c>
    </row>
    <row r="3" spans="1:6" x14ac:dyDescent="0.25">
      <c r="B3" s="4" t="s">
        <v>2</v>
      </c>
      <c r="C3" s="4" t="s">
        <v>3</v>
      </c>
      <c r="D3" s="4"/>
      <c r="F3" s="5" t="s">
        <v>5</v>
      </c>
    </row>
    <row r="4" spans="1:6" x14ac:dyDescent="0.25">
      <c r="B4" s="3">
        <v>1</v>
      </c>
      <c r="C4" s="3">
        <v>8500</v>
      </c>
      <c r="D4" s="3"/>
      <c r="F4" s="6">
        <f>AVERAGE(C4:C10)</f>
        <v>8971.4285714285706</v>
      </c>
    </row>
    <row r="5" spans="1:6" x14ac:dyDescent="0.25">
      <c r="B5" s="3">
        <v>2</v>
      </c>
      <c r="C5" s="3">
        <v>9200</v>
      </c>
      <c r="D5" s="3"/>
    </row>
    <row r="6" spans="1:6" x14ac:dyDescent="0.25">
      <c r="B6" s="3">
        <v>3</v>
      </c>
      <c r="C6" s="3">
        <v>7800</v>
      </c>
      <c r="D6" s="3"/>
    </row>
    <row r="7" spans="1:6" x14ac:dyDescent="0.25">
      <c r="B7" s="3">
        <v>4</v>
      </c>
      <c r="C7" s="3">
        <v>10500</v>
      </c>
      <c r="D7" s="3"/>
    </row>
    <row r="8" spans="1:6" x14ac:dyDescent="0.25">
      <c r="B8" s="3">
        <v>5</v>
      </c>
      <c r="C8" s="3">
        <v>8900</v>
      </c>
      <c r="D8" s="3"/>
    </row>
    <row r="9" spans="1:6" x14ac:dyDescent="0.25">
      <c r="B9" s="3">
        <v>6</v>
      </c>
      <c r="C9" s="3">
        <v>9700</v>
      </c>
      <c r="D9" s="3"/>
    </row>
    <row r="10" spans="1:6" x14ac:dyDescent="0.25">
      <c r="B10" s="3">
        <v>7</v>
      </c>
      <c r="C10" s="3">
        <v>8200</v>
      </c>
      <c r="D10" s="3"/>
    </row>
    <row r="14" spans="1:6" x14ac:dyDescent="0.25">
      <c r="A14" s="11" t="s">
        <v>7</v>
      </c>
      <c r="B14" s="2" t="s">
        <v>6</v>
      </c>
    </row>
    <row r="16" spans="1:6" ht="28.55" x14ac:dyDescent="0.25">
      <c r="B16" s="7" t="s">
        <v>8</v>
      </c>
      <c r="C16" s="7" t="s">
        <v>9</v>
      </c>
      <c r="D16" s="7"/>
      <c r="F16" s="8" t="s">
        <v>10</v>
      </c>
    </row>
    <row r="17" spans="1:17" x14ac:dyDescent="0.25">
      <c r="B17" s="3">
        <v>1</v>
      </c>
      <c r="C17" s="3">
        <v>32</v>
      </c>
      <c r="D17" s="3"/>
      <c r="F17">
        <f>MEDIAN(C17:C25)</f>
        <v>30</v>
      </c>
    </row>
    <row r="18" spans="1:17" x14ac:dyDescent="0.25">
      <c r="B18" s="3">
        <v>2</v>
      </c>
      <c r="C18" s="3">
        <v>28</v>
      </c>
      <c r="D18" s="3"/>
    </row>
    <row r="19" spans="1:17" x14ac:dyDescent="0.25">
      <c r="B19" s="3">
        <v>3</v>
      </c>
      <c r="C19" s="3">
        <v>29</v>
      </c>
      <c r="D19" s="3"/>
    </row>
    <row r="20" spans="1:17" x14ac:dyDescent="0.25">
      <c r="B20" s="3">
        <v>4</v>
      </c>
      <c r="C20" s="3">
        <v>45</v>
      </c>
      <c r="D20" s="3"/>
    </row>
    <row r="21" spans="1:17" x14ac:dyDescent="0.25">
      <c r="B21" s="3">
        <v>5</v>
      </c>
      <c r="C21" s="3">
        <v>30</v>
      </c>
      <c r="D21" s="3"/>
    </row>
    <row r="22" spans="1:17" x14ac:dyDescent="0.25">
      <c r="B22" s="3">
        <v>6</v>
      </c>
      <c r="C22" s="3">
        <v>31</v>
      </c>
      <c r="D22" s="3"/>
    </row>
    <row r="23" spans="1:17" x14ac:dyDescent="0.25">
      <c r="B23" s="3">
        <v>7</v>
      </c>
      <c r="C23" s="3">
        <v>60</v>
      </c>
      <c r="D23" s="3"/>
    </row>
    <row r="24" spans="1:17" x14ac:dyDescent="0.25">
      <c r="B24" s="3">
        <v>8</v>
      </c>
      <c r="C24" s="3">
        <v>30</v>
      </c>
      <c r="D24" s="3"/>
    </row>
    <row r="25" spans="1:17" x14ac:dyDescent="0.25">
      <c r="B25" s="3">
        <v>9</v>
      </c>
      <c r="C25" s="3">
        <v>29</v>
      </c>
      <c r="D25" s="3"/>
    </row>
    <row r="29" spans="1:17" ht="31.55" customHeight="1" x14ac:dyDescent="0.25">
      <c r="A29" s="11" t="s">
        <v>12</v>
      </c>
      <c r="B29" s="10" t="s">
        <v>11</v>
      </c>
      <c r="C29" s="10"/>
      <c r="D29" s="10"/>
      <c r="E29" s="10"/>
      <c r="F29" s="10"/>
      <c r="G29" s="10"/>
      <c r="H29" s="10"/>
      <c r="I29" s="10"/>
      <c r="J29" s="10"/>
      <c r="K29" s="10"/>
      <c r="L29" s="10"/>
      <c r="M29" s="10"/>
      <c r="N29" s="10"/>
      <c r="O29" s="10"/>
      <c r="P29" s="10"/>
      <c r="Q29" s="10"/>
    </row>
    <row r="31" spans="1:17" x14ac:dyDescent="0.25">
      <c r="B31" s="7" t="s">
        <v>13</v>
      </c>
      <c r="C31" s="7" t="s">
        <v>14</v>
      </c>
      <c r="F31" s="5" t="s">
        <v>19</v>
      </c>
    </row>
    <row r="32" spans="1:17" x14ac:dyDescent="0.25">
      <c r="B32" s="3">
        <v>1</v>
      </c>
      <c r="C32" s="3" t="s">
        <v>15</v>
      </c>
      <c r="D32" s="3" cm="1">
        <f t="array" ref="D32">_xlfn.IFS(C32="Music",1,C32="Vlog",2,C32="Tech",3,C32="Comedy",4)</f>
        <v>1</v>
      </c>
      <c r="E32" s="3" cm="1">
        <f t="array" ref="E32:E43">_xlfn.IFS(C32:C43="Music",1,C32:C43="Vlog",2,C32:C43="Tech",3,C32:C43="Comedy",4)</f>
        <v>1</v>
      </c>
      <c r="F32" s="9">
        <f>MODE(_xlfn.ANCHORARRAY(E32))</f>
        <v>1</v>
      </c>
    </row>
    <row r="33" spans="1:17" x14ac:dyDescent="0.25">
      <c r="B33" s="3">
        <v>2</v>
      </c>
      <c r="C33" s="3" t="s">
        <v>16</v>
      </c>
      <c r="D33" s="3" cm="1">
        <f t="array" ref="D33">_xlfn.IFS(C33="Music",1,C33="Vlog",2,C33="Tech",3,C33="Comedy",4)</f>
        <v>2</v>
      </c>
      <c r="E33" s="3">
        <v>2</v>
      </c>
      <c r="F33" s="9"/>
    </row>
    <row r="34" spans="1:17" x14ac:dyDescent="0.25">
      <c r="B34" s="3">
        <v>3</v>
      </c>
      <c r="C34" s="3" t="s">
        <v>15</v>
      </c>
      <c r="D34" s="3" cm="1">
        <f t="array" ref="D34">_xlfn.IFS(C34="Music",1,C34="Vlog",2,C34="Tech",3,C34="Comedy",4)</f>
        <v>1</v>
      </c>
      <c r="E34" s="3">
        <v>1</v>
      </c>
      <c r="F34" s="9"/>
    </row>
    <row r="35" spans="1:17" x14ac:dyDescent="0.25">
      <c r="B35" s="3">
        <v>4</v>
      </c>
      <c r="C35" s="3" t="s">
        <v>17</v>
      </c>
      <c r="D35" s="3" cm="1">
        <f t="array" ref="D35">_xlfn.IFS(C35="Music",1,C35="Vlog",2,C35="Tech",3,C35="Comedy",4)</f>
        <v>3</v>
      </c>
      <c r="E35" s="3">
        <v>3</v>
      </c>
      <c r="F35" s="9"/>
    </row>
    <row r="36" spans="1:17" x14ac:dyDescent="0.25">
      <c r="B36" s="3">
        <v>5</v>
      </c>
      <c r="C36" s="3" t="s">
        <v>15</v>
      </c>
      <c r="D36" s="3" cm="1">
        <f t="array" ref="D36">_xlfn.IFS(C36="Music",1,C36="Vlog",2,C36="Tech",3,C36="Comedy",4)</f>
        <v>1</v>
      </c>
      <c r="E36" s="9">
        <v>1</v>
      </c>
    </row>
    <row r="37" spans="1:17" x14ac:dyDescent="0.25">
      <c r="B37" s="3">
        <v>6</v>
      </c>
      <c r="C37" s="3" t="s">
        <v>16</v>
      </c>
      <c r="D37" s="3" cm="1">
        <f t="array" ref="D37">_xlfn.IFS(C37="Music",1,C37="Vlog",2,C37="Tech",3,C37="Comedy",4)</f>
        <v>2</v>
      </c>
      <c r="E37" s="9">
        <v>2</v>
      </c>
    </row>
    <row r="38" spans="1:17" x14ac:dyDescent="0.25">
      <c r="B38" s="3">
        <v>7</v>
      </c>
      <c r="C38" s="3" t="s">
        <v>17</v>
      </c>
      <c r="D38" s="3" cm="1">
        <f t="array" ref="D38">_xlfn.IFS(C38="Music",1,C38="Vlog",2,C38="Tech",3,C38="Comedy",4)</f>
        <v>3</v>
      </c>
      <c r="E38" s="9">
        <v>3</v>
      </c>
    </row>
    <row r="39" spans="1:17" x14ac:dyDescent="0.25">
      <c r="B39" s="3">
        <v>8</v>
      </c>
      <c r="C39" s="3" t="s">
        <v>15</v>
      </c>
      <c r="D39" s="3" cm="1">
        <f t="array" ref="D39">_xlfn.IFS(C39="Music",1,C39="Vlog",2,C39="Tech",3,C39="Comedy",4)</f>
        <v>1</v>
      </c>
      <c r="E39" s="9">
        <v>1</v>
      </c>
    </row>
    <row r="40" spans="1:17" x14ac:dyDescent="0.25">
      <c r="B40" s="3">
        <v>9</v>
      </c>
      <c r="C40" s="3" t="s">
        <v>18</v>
      </c>
      <c r="D40" s="3" cm="1">
        <f t="array" ref="D40">_xlfn.IFS(C40="Music",1,C40="Vlog",2,C40="Tech",3,C40="Comedy",4)</f>
        <v>4</v>
      </c>
      <c r="E40" s="9">
        <v>4</v>
      </c>
    </row>
    <row r="41" spans="1:17" x14ac:dyDescent="0.25">
      <c r="B41" s="3">
        <v>10</v>
      </c>
      <c r="C41" s="3" t="s">
        <v>16</v>
      </c>
      <c r="D41" s="3" cm="1">
        <f t="array" ref="D41">_xlfn.IFS(C41="Music",1,C41="Vlog",2,C41="Tech",3,C41="Comedy",4)</f>
        <v>2</v>
      </c>
      <c r="E41" s="9">
        <v>2</v>
      </c>
    </row>
    <row r="42" spans="1:17" x14ac:dyDescent="0.25">
      <c r="B42" s="3">
        <v>11</v>
      </c>
      <c r="C42" s="3" t="s">
        <v>15</v>
      </c>
      <c r="D42" s="3" cm="1">
        <f t="array" ref="D42">_xlfn.IFS(C42="Music",1,C42="Vlog",2,C42="Tech",3,C42="Comedy",4)</f>
        <v>1</v>
      </c>
      <c r="E42" s="9">
        <v>1</v>
      </c>
    </row>
    <row r="43" spans="1:17" x14ac:dyDescent="0.25">
      <c r="B43" s="3">
        <v>12</v>
      </c>
      <c r="C43" s="3" t="s">
        <v>18</v>
      </c>
      <c r="D43" s="3" cm="1">
        <f t="array" ref="D43">_xlfn.IFS(C43="Music",1,C43="Vlog",2,C43="Tech",3,C43="Comedy",4)</f>
        <v>4</v>
      </c>
      <c r="E43" s="9">
        <v>4</v>
      </c>
    </row>
    <row r="48" spans="1:17" ht="35.65" customHeight="1" x14ac:dyDescent="0.25">
      <c r="A48" s="11" t="s">
        <v>20</v>
      </c>
      <c r="B48" s="10" t="s">
        <v>21</v>
      </c>
      <c r="C48" s="10"/>
      <c r="D48" s="10"/>
      <c r="E48" s="10"/>
      <c r="F48" s="10"/>
      <c r="G48" s="10"/>
      <c r="H48" s="10"/>
      <c r="I48" s="10"/>
      <c r="J48" s="10"/>
      <c r="K48" s="10"/>
      <c r="L48" s="10"/>
      <c r="M48" s="10"/>
      <c r="N48" s="10"/>
      <c r="O48" s="10"/>
      <c r="P48" s="10"/>
      <c r="Q48" s="10"/>
    </row>
    <row r="51" spans="2:17" ht="28.55" x14ac:dyDescent="0.25">
      <c r="B51" s="7" t="s">
        <v>4</v>
      </c>
      <c r="C51" s="7" t="s">
        <v>22</v>
      </c>
      <c r="E51" s="8" t="s">
        <v>5</v>
      </c>
      <c r="F51" s="8" t="s">
        <v>10</v>
      </c>
    </row>
    <row r="52" spans="2:17" x14ac:dyDescent="0.25">
      <c r="B52" s="3">
        <v>1</v>
      </c>
      <c r="C52" s="3">
        <v>100</v>
      </c>
      <c r="E52" s="6">
        <f>AVERAGE(C52:C58)</f>
        <v>808.28571428571433</v>
      </c>
      <c r="F52">
        <f>MEDIAN(C52:C58)</f>
        <v>110</v>
      </c>
    </row>
    <row r="53" spans="2:17" x14ac:dyDescent="0.25">
      <c r="B53" s="3">
        <v>2</v>
      </c>
      <c r="C53" s="3">
        <v>120</v>
      </c>
    </row>
    <row r="54" spans="2:17" x14ac:dyDescent="0.25">
      <c r="B54" s="3">
        <v>3</v>
      </c>
      <c r="C54" s="3">
        <v>105</v>
      </c>
    </row>
    <row r="55" spans="2:17" ht="34.950000000000003" customHeight="1" x14ac:dyDescent="0.25">
      <c r="B55" s="3">
        <v>4</v>
      </c>
      <c r="C55" s="3">
        <v>110</v>
      </c>
      <c r="E55" s="12" t="s">
        <v>23</v>
      </c>
      <c r="F55" s="12"/>
      <c r="G55" s="12"/>
      <c r="H55" s="12"/>
      <c r="I55" s="12"/>
      <c r="J55" s="12"/>
      <c r="K55" s="12"/>
      <c r="L55" s="12"/>
      <c r="M55" s="12"/>
      <c r="N55" s="12"/>
      <c r="O55" s="12"/>
      <c r="P55" s="12"/>
      <c r="Q55" s="12"/>
    </row>
    <row r="56" spans="2:17" x14ac:dyDescent="0.25">
      <c r="B56" s="3">
        <v>5</v>
      </c>
      <c r="C56" s="3">
        <v>5000</v>
      </c>
    </row>
    <row r="57" spans="2:17" x14ac:dyDescent="0.25">
      <c r="B57" s="3">
        <v>6</v>
      </c>
      <c r="C57" s="3">
        <v>115</v>
      </c>
    </row>
    <row r="58" spans="2:17" x14ac:dyDescent="0.25">
      <c r="B58" s="3">
        <v>7</v>
      </c>
      <c r="C58" s="3">
        <v>108</v>
      </c>
    </row>
  </sheetData>
  <sortState xmlns:xlrd2="http://schemas.microsoft.com/office/spreadsheetml/2017/richdata2" ref="J17:J25">
    <sortCondition ref="J17:J25"/>
  </sortState>
  <mergeCells count="3">
    <mergeCell ref="B29:Q29"/>
    <mergeCell ref="B48:Q48"/>
    <mergeCell ref="E55:Q5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dilip pawar</dc:creator>
  <cp:lastModifiedBy>dilip pawar</cp:lastModifiedBy>
  <dcterms:created xsi:type="dcterms:W3CDTF">2026-10-06T10:05:51Z</dcterms:created>
  <dcterms:modified xsi:type="dcterms:W3CDTF">2026-10-06T10:35:01Z</dcterms:modified>
</cp:coreProperties>
</file>